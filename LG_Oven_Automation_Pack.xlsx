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23fee2e64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" sheetId="1" r:id="R37aaf76fe1bd442c"/>
    <x:sheet xmlns:r="http://schemas.openxmlformats.org/officeDocument/2006/relationships" name="Capture" sheetId="2" r:id="R8334b9a72f6d4822"/>
    <x:sheet xmlns:r="http://schemas.openxmlformats.org/officeDocument/2006/relationships" name="Model_Master" sheetId="3" r:id="R8981be517dd14f2c"/>
    <x:sheet xmlns:r="http://schemas.openxmlformats.org/officeDocument/2006/relationships" name="Live_Snapshot" sheetId="4" r:id="R99f1b88d2d2f4096"/>
    <x:sheet xmlns:r="http://schemas.openxmlformats.org/officeDocument/2006/relationships" name="Dashboard" sheetId="5" r:id="R45d85b2912df49d9"/>
    <x:sheet xmlns:r="http://schemas.openxmlformats.org/officeDocument/2006/relationships" name="Guide" sheetId="6" r:id="R3b308e1a34f54360"/>
  </x:sheets>
</x:workbook>
</file>

<file path=xl/comments1.xml><?xml version="1.0" encoding="utf-8"?>
<x:comments xmlns:x="http://schemas.openxmlformats.org/spreadsheetml/2006/main">
  <x:authors>
    <x:author>tc={413B23CC-85ED-4F55-A3AB-61BF1C8C803E}</x:author>
  </x:authors>
  <x:commentList>
    <x:comment ref="J4" authorId="0">
      <x:text>
        <x:r>
          <x:t>[스레드 댓글]
사용 중인 버전의 Excel에서 이 스레드 댓글을 읽을 수 있지만 파일을 이후 버전의 Excel에서 열면 편집 내용이 모두 제거됩니다. 자세한 정보: https://go.microsoft.com/fwlink/?linkid=870924.
댓글:
    week-over-week increase rate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<x:sst xmlns:x="http://schemas.openxmlformats.org/spreadsheetml/2006/main">
  <x:si>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LG Oven Model Price List</x:t>
  </x:si>
  <x:si>
    <x:t xml:space="preserve">Date</x:t>
  </x:si>
  <x:si>
    <x:t xml:space="preserve">Rank</x:t>
  </x:si>
  <x:si>
    <x:t xml:space="preserve">Knob O/X</x:t>
  </x:si>
  <x:si>
    <x:t xml:space="preserve">Model</x:t>
  </x:si>
  <x:si>
    <x:t xml:space="preserve">P/N</x:t>
  </x:si>
  <x:si>
    <x:t xml:space="preserve">Price($)</x:t>
  </x:si>
  <x:si>
    <x:t xml:space="preserve">Promotion($)</x:t>
  </x:si>
  <x:si>
    <x:t xml:space="preserve">Promotion(%)</x:t>
  </x:si>
  <x:si>
    <x:t xml:space="preserve">Total($)</x:t>
  </x:si>
  <x:si>
    <x:t xml:space="preserve">WOW</x:t>
  </x:si>
  <x:si>
    <x:t xml:space="preserve">Apr.16</x:t>
  </x:si>
  <x:si>
    <x:t xml:space="preserve">Apr.20</x:t>
  </x:si>
</x:sst>
</file>

<file path=xl/styles.xml><?xml version="1.0" encoding="utf-8"?>
<x:styleSheet xmlns:x="http://schemas.openxmlformats.org/spreadsheetml/2006/main">
  <x:numFmts count="5">
    <x:numFmt numFmtId="41" formatCode="_-* #,##0_-;\-* #,##0_-;_-* &quot;-&quot;_-;_-@_-"/>
    <x:numFmt numFmtId="176" formatCode="[$-F800]dddd\,\ mmmm\ dd\,\ yyyy"/>
    <x:numFmt numFmtId="200" formatCode="yyyy.mm.dd"/>
    <x:numFmt numFmtId="201" formatCode="0.00%"/>
    <x:numFmt numFmtId="202" formatCode="#,##0"/>
  </x:numFmts>
  <x:fonts count="6">
    <x:font>
      <x:sz val="11"/>
      <x:color theme="1"/>
      <x:name val="맑은 고딕"/>
    </x:font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sz val="9"/>
      <x:color indexed="81"/>
      <x:name val="Tahoma"/>
    </x:font>
    <x:font>
      <x:b/>
      <x:sz val="16"/>
      <x:color rgb="FFFFFF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rgb="FFFF00"/>
      </x:patternFill>
    </x:fill>
    <x:fill>
      <x:patternFill patternType="solid">
        <x:fgColor rgb="D9E2F3"/>
      </x:patternFill>
    </x:fill>
    <x:fill>
      <x:patternFill patternType="solid">
        <x:fgColor rgb="0F172A"/>
      </x:patternFill>
    </x:fill>
  </x:fills>
  <x:borders count="5">
    <x:border/>
    <x:border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3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</x:cellStyleXfs>
  <x:cellXfs count="37">
    <x:xf numFmtId="0" fontId="0" fillId="0" borderId="0" xfId="0">
      <x:alignment vertical="center"/>
    </x:xf>
    <x:xf numFmtId="0" fontId="3" fillId="0" borderId="1" xfId="0" applyFont="1" applyBorder="1">
      <x:alignment vertical="center"/>
    </x:xf>
    <x:xf numFmtId="0" fontId="0" fillId="0" borderId="2" xfId="0" applyBorder="1">
      <x:alignment vertical="center"/>
    </x:xf>
    <x:xf numFmtId="0" fontId="0" fillId="0" borderId="4" xfId="0" applyBorder="1">
      <x:alignment vertical="center"/>
    </x:xf>
    <x:xf numFmtId="0" fontId="3" fillId="2" borderId="3" xfId="0" applyFont="1" applyFill="1" applyBorder="1" applyAlignment="1">
      <x:alignment horizontal="center" vertical="center"/>
    </x:xf>
    <x:xf numFmtId="0" fontId="0" fillId="0" borderId="0" xfId="0" applyBorder="1">
      <x:alignment vertical="center"/>
    </x:xf>
    <x:xf numFmtId="0" fontId="0" fillId="0" borderId="4" xfId="0" applyBorder="1" applyAlignment="1">
      <x:alignment horizontal="center" vertical="center"/>
    </x:xf>
    <x:xf numFmtId="176" fontId="0" fillId="0" borderId="4" xfId="0" applyNumberFormat="1" applyBorder="1" applyAlignment="1">
      <x:alignment horizontal="center" vertical="center"/>
    </x:xf>
    <x:xf numFmtId="41" fontId="0" fillId="0" borderId="4" xfId="1" applyFont="1" applyBorder="1">
      <x:alignment vertical="center"/>
    </x:xf>
    <x:xf numFmtId="41" fontId="0" fillId="0" borderId="2" xfId="1" applyFont="1" applyBorder="1">
      <x:alignment vertical="center"/>
    </x:xf>
    <x:xf numFmtId="0" fontId="3" fillId="0" borderId="0" xfId="0" applyFont="1" applyBorder="1">
      <x:alignment vertical="center"/>
    </x:xf>
    <x:xf numFmtId="0" fontId="0" fillId="0" borderId="4" xfId="0" applyNumberFormat="1" applyBorder="1" applyAlignment="1">
      <x:alignment horizontal="center" vertical="center"/>
    </x:xf>
    <x:xf numFmtId="10" fontId="0" fillId="0" borderId="4" xfId="2" applyNumberFormat="1" applyFont="1" applyBorder="1">
      <x:alignment vertical="center"/>
    </x:xf>
    <x:xf numFmtId="0" fontId="3" fillId="0" borderId="0" xfId="0" applyFont="1">
      <x:alignment vertical="center"/>
    </x:xf>
    <x:xf numFmtId="0" fontId="0" fillId="0" borderId="2" xfId="0" applyBorder="1" applyAlignment="1">
      <x:alignment horizontal="center" vertical="center"/>
    </x:xf>
    <x:xf numFmtId="176" fontId="0" fillId="3" borderId="4" xfId="0" applyNumberFormat="1" applyFill="1" applyBorder="1" applyAlignment="1">
      <x:alignment horizontal="center" vertical="center"/>
    </x:xf>
    <x:xf numFmtId="0" fontId="0" fillId="3" borderId="4" xfId="0" applyNumberFormat="1" applyFill="1" applyBorder="1" applyAlignment="1">
      <x:alignment horizontal="center" vertical="center"/>
    </x:xf>
    <x:xf numFmtId="0" fontId="0" fillId="3" borderId="2" xfId="0" applyFill="1" applyBorder="1">
      <x:alignment vertical="center"/>
    </x:xf>
    <x:xf numFmtId="41" fontId="0" fillId="3" borderId="2" xfId="1" applyFont="1" applyFill="1" applyBorder="1">
      <x:alignment vertical="center"/>
    </x:xf>
    <x:xf numFmtId="10" fontId="0" fillId="3" borderId="4" xfId="2" applyNumberFormat="1" applyFont="1" applyFill="1" applyBorder="1">
      <x:alignment vertical="center"/>
    </x:xf>
    <x:xf numFmtId="41" fontId="0" fillId="3" borderId="4" xfId="1" applyFont="1" applyFill="1" applyBorder="1">
      <x:alignment vertical="center"/>
    </x:xf>
    <x:xf numFmtId="0" fontId="0" fillId="3" borderId="2" xfId="0" applyFill="1" applyBorder="1" applyAlignment="1">
      <x:alignment horizontal="center" vertical="center"/>
    </x:xf>
    <x:xf numFmtId="176" fontId="0" fillId="3" borderId="3" xfId="0" applyNumberFormat="1" applyFill="1" applyBorder="1" applyAlignment="1">
      <x:alignment horizontal="center" vertical="center"/>
    </x:xf>
    <x:xf numFmtId="0" fontId="0" fillId="3" borderId="3" xfId="0" applyNumberFormat="1" applyFill="1" applyBorder="1" applyAlignment="1">
      <x:alignment horizontal="center" vertical="center"/>
    </x:xf>
    <x:xf numFmtId="0" fontId="0" fillId="3" borderId="3" xfId="0" applyFill="1" applyBorder="1">
      <x:alignment vertical="center"/>
    </x:xf>
    <x:xf numFmtId="41" fontId="0" fillId="3" borderId="3" xfId="1" applyFont="1" applyFill="1" applyBorder="1">
      <x:alignment vertical="center"/>
    </x:xf>
    <x:xf numFmtId="10" fontId="0" fillId="3" borderId="3" xfId="2" applyNumberFormat="1" applyFont="1" applyFill="1" applyBorder="1">
      <x:alignment vertical="center"/>
    </x:xf>
    <x:xf numFmtId="0" fontId="0" fillId="3" borderId="3" xfId="0" applyFill="1" applyBorder="1" applyAlignment="1">
      <x:alignment horizontal="center"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3">
    <x:cellStyle name="백분율" xfId="2"/>
    <x:cellStyle name="쉼표 [0]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0bd68821a4cd7" /><Relationship Type="http://schemas.openxmlformats.org/officeDocument/2006/relationships/theme" Target="/xl/theme/theme1.xml" Id="R9b9595dc35d64205" /><Relationship Type="http://schemas.microsoft.com/office/2022/11/relationships/FeaturePropertyBag" Target="/xl/featurePropertyBag/featurePropertyBag.xml" Id="R91e4d974851d4353" /><Relationship Type="http://schemas.openxmlformats.org/officeDocument/2006/relationships/sharedStrings" Target="/xl/sharedStrings.xml" Id="R5020cb0dce264528" /><Relationship Type="http://schemas.openxmlformats.org/officeDocument/2006/relationships/worksheet" Target="/xl/worksheets/sheet1.xml" Id="R37aaf76fe1bd442c" /><Relationship Type="http://schemas.openxmlformats.org/officeDocument/2006/relationships/worksheet" Target="/xl/worksheets/sheet2.xml" Id="R8334b9a72f6d4822" /><Relationship Type="http://schemas.openxmlformats.org/officeDocument/2006/relationships/worksheet" Target="/xl/worksheets/sheet3.xml" Id="R8981be517dd14f2c" /><Relationship Type="http://schemas.openxmlformats.org/officeDocument/2006/relationships/worksheet" Target="/xl/worksheets/sheet4.xml" Id="R99f1b88d2d2f4096" /><Relationship Type="http://schemas.openxmlformats.org/officeDocument/2006/relationships/worksheet" Target="/xl/worksheets/sheet5.xml" Id="R45d85b2912df49d9" /><Relationship Type="http://schemas.openxmlformats.org/officeDocument/2006/relationships/worksheet" Target="/xl/worksheets/sheet6.xml" Id="R3b308e1a34f54360" /><Relationship Type="http://schemas.microsoft.com/office/2017/10/relationships/person" Target="/xl/persons/person.xml" Id="R550baff6667a46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a7a81631d674837" /><Relationship Type="http://schemas.openxmlformats.org/officeDocument/2006/relationships/image" Target="/xl/media/image2.png" Id="R3cf8a1b47d99465c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2</xdr:row>
      <xdr:rowOff>133350</xdr:rowOff>
    </xdr:from>
    <xdr:to>
      <xdr:col>10</xdr:col>
      <xdr:colOff>555356</xdr:colOff>
      <xdr:row>41</xdr:row>
      <xdr:rowOff>77044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7a81631d6748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95249</xdr:colOff>
      <xdr:row>43</xdr:row>
      <xdr:rowOff>133350</xdr:rowOff>
    </xdr:from>
    <xdr:to>
      <xdr:col>10</xdr:col>
      <xdr:colOff>624908</xdr:colOff>
      <xdr:row>83</xdr:row>
      <xdr:rowOff>129540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f8a1b47d9946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한 효섭" id="{65169546-C7BF-4ABD-8FEB-DADADF177C73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4" dT="2026-04-16T08:58:16.01+00:00" personId="{65169546-C7BF-4ABD-8FEB-DADADF177C73}" id="{413B23CC-85ED-4F55-A3AB-61BF1C8C803E}">
    <xltc:text>week-over-week increase rate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c68b5f4119c4003" /><Relationship Type="http://schemas.openxmlformats.org/officeDocument/2006/relationships/vmlDrawing" Target="/xl/drawings/vmldrawing.vml" Id="R6bbef620beac49a5" /><Relationship Type="http://schemas.microsoft.com/office/2017/10/relationships/threadedComment" Target="/xl/threadedcomments/threadedcomment.xml" Id="R5a904ea99fcb42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438f32e2d7042cc" /></Relationships>
</file>

<file path=xl/worksheets/sheet1.xml><?xml version="1.0" encoding="utf-8"?>
<x:worksheet xmlns:x="http://schemas.openxmlformats.org/spreadsheetml/2006/main">
  <x:sheetFormatPr defaultRowHeight="17.399999618530273"/>
  <x:cols>
    <x:col min="1" max="1" width="14" hidden="0" customWidth="1"/>
    <x:col min="2" max="2" width="6" hidden="0" customWidth="1"/>
    <x:col min="3" max="3" width="8" hidden="0" customWidth="1"/>
    <x:col min="4" max="4" width="62" hidden="0" customWidth="1"/>
    <x:col min="5" max="5" width="12" hidden="0" customWidth="1"/>
    <x:col min="6" max="6" width="10" hidden="0" customWidth="1"/>
    <x:col min="7" max="7" width="10" hidden="0" customWidth="1"/>
    <x:col min="8" max="8" width="9" hidden="0" customWidth="1"/>
    <x:col min="9" max="10" width="8.59765625" customWidth="1"/>
    <x:col min="9" max="9" width="9" hidden="0" customWidth="1"/>
    <x:col min="10" max="10" width="9" hidden="0" customWidth="1"/>
    <x:col min="11" max="11" width="16" hidden="0" customWidth="1"/>
  </x:cols>
  <x:sheetData>
    <x:row r="2" ht="18">
      <x:c r="A2" s="1" t="s">
        <x:v>0</x:v>
      </x:c>
      <x:c r="B2" s="10"/>
      <x:c r="C2" s="10"/>
      <x:c r="D2" s="5"/>
      <x:c r="E2" s="5"/>
      <x:c r="F2" s="5"/>
    </x:row>
    <x:row r="3" ht="18"/>
    <x:row r="4" ht="18">
      <x:c r="A4" s="4" t="s">
        <x:v>1</x:v>
      </x:c>
      <x:c r="B4" s="4" t="s">
        <x:v>2</x:v>
      </x:c>
      <x:c r="C4" s="4" t="s">
        <x:v>3</x:v>
      </x:c>
      <x:c r="D4" s="4" t="s">
        <x:v>4</x:v>
      </x:c>
      <x:c r="E4" s="4" t="s">
        <x:v>5</x:v>
      </x:c>
      <x:c r="F4" s="4" t="s">
        <x:v>6</x:v>
      </x:c>
      <x:c r="G4" s="4" t="s">
        <x:v>7</x:v>
      </x:c>
      <x:c r="H4" s="4" t="s">
        <x:v>8</x:v>
      </x:c>
      <x:c r="I4" s="4" t="s">
        <x:v>9</x:v>
      </x:c>
      <x:c r="J4" s="4" t="s">
        <x:v>10</x:v>
      </x:c>
      <x:c r="K4" t="str">
        <x:v>Note</x:v>
      </x:c>
    </x:row>
    <x:row r="5" ht="18">
      <x:c r="A5" s="7" t="str">
        <x:v>2026.04.16</x:v>
      </x:c>
      <x:c r="B5" s="11" t="n">
        <x:v>1</x:v>
      </x:c>
      <x:c r="C5" s="11" t="str">
        <x:v>O</x:v>
      </x:c>
      <x:c r="D5" s="3" t="str">
        <x:v>6.9 cu. ft. Smart Gas Double Oven Freestanding Range with ProBake Convection®, Air Fry &amp; Air Sous Vide</x:v>
      </x:c>
      <x:c r="E5" s="3" t="str">
        <x:v>LDGL6924S</x:v>
      </x:c>
      <x:c r="F5" s="8" t="n">
        <x:v>2399</x:v>
      </x:c>
      <x:c r="G5" s="8" t="n">
        <x:v>800</x:v>
      </x:c>
      <x:c r="H5" s="12" t="n">
        <x:f>IF(OR(F5="",G5=""),"",IF(F5=0,"",G5/F5))</x:f>
        <x:v>0.3334722801167153</x:v>
      </x:c>
      <x:c r="I5" s="8" t="n">
        <x:f>IF(OR(F5="",G5=""),"",F5-G5)</x:f>
        <x:v>1599</x:v>
      </x:c>
      <x:c r="J5" s="12" t="n">
        <x:f>IF(E5="","",IFERROR((I5/LOOKUP(2,1/($E$5:E4=E5),$I$5:I4))-1,""))</x:f>
        <x:v>0</x:v>
      </x:c>
      <x:c r="K5" t="str">
        <x:f>IF(E5="","",IFERROR(IF(B5&lt;&gt;LOOKUP(2,1/($E$5:E4=E5),$B$5:B4),"Ranking change",""),""))</x:f>
      </x:c>
    </x:row>
    <x:row r="6">
      <x:c r="A6" s="7" t="str">
        <x:v>2026.04.16</x:v>
      </x:c>
      <x:c r="B6" s="11" t="n">
        <x:v>2</x:v>
      </x:c>
      <x:c r="C6" s="11" t="str">
        <x:v>X</x:v>
      </x:c>
      <x:c r="D6" s="2" t="str">
        <x:v>4.7 cu. ft. Smart Wall Oven with Convection and Air Fry</x:v>
      </x:c>
      <x:c r="E6" s="2" t="str">
        <x:v>WSEP4723F</x:v>
      </x:c>
      <x:c r="F6" s="9" t="n">
        <x:v>2199</x:v>
      </x:c>
      <x:c r="G6" s="9" t="n">
        <x:v>900</x:v>
      </x:c>
      <x:c r="H6" s="12" t="n">
        <x:f t="shared" ref="H6:H59" si="0">IF(OR(F6="",G6=""),"",IF(F6=0,"",G6/F6))</x:f>
        <x:v>0.4092769440654843</x:v>
      </x:c>
      <x:c r="I6" s="8" t="n">
        <x:f>IF(OR(F6="",G6=""),"",F6-G6)</x:f>
        <x:v>1299</x:v>
      </x:c>
      <x:c r="J6" s="12" t="str">
        <x:f>IF(E6="","",IFERROR((I6/LOOKUP(2,1/($E$5:E5=E6),$I$5:I5))-1,""))</x:f>
      </x:c>
      <x:c r="K6" t="str">
        <x:f>IF(E6="","",IFERROR(IF(B6&lt;&gt;LOOKUP(2,1/($E$5:E5=E6),$B$5:B5),"Ranking change",""),""))</x:f>
      </x:c>
    </x:row>
    <x:row r="7">
      <x:c r="A7" s="7" t="str">
        <x:v>2026.04.16</x:v>
      </x:c>
      <x:c r="B7" s="11" t="n">
        <x:v>3</x:v>
      </x:c>
      <x:c r="C7" s="11" t="str">
        <x:v>O</x:v>
      </x:c>
      <x:c r="D7" s="2" t="str">
        <x:v>6.3 cu. ft. Electric Slide-in Range</x:v>
      </x:c>
      <x:c r="E7" s="2" t="str">
        <x:v>LSEL6330SE</x:v>
      </x:c>
      <x:c r="F7" s="9" t="n">
        <x:v>899</x:v>
      </x:c>
      <x:c r="G7" s="9" t="n">
        <x:v>100</x:v>
      </x:c>
      <x:c r="H7" s="12" t="n">
        <x:f t="shared" si="0">IF(OR(F7="",G7=""),"",IF(F7=0,"",G7/F7))</x:f>
        <x:v>0.11123470522803114</x:v>
      </x:c>
      <x:c r="I7" s="8" t="n">
        <x:f>IF(OR(F7="",G7=""),"",F7-G7)</x:f>
        <x:v>799</x:v>
      </x:c>
      <x:c r="J7" s="12" t="str">
        <x:f>IF(E7="","",IFERROR((I7/LOOKUP(2,1/($E$5:E6=E7),$I$5:I6))-1,""))</x:f>
      </x:c>
      <x:c r="K7" t="str">
        <x:f>IF(E7="","",IFERROR(IF(B7&lt;&gt;LOOKUP(2,1/($E$5:E6=E7),$B$5:B6),"Ranking change",""),""))</x:f>
      </x:c>
    </x:row>
    <x:row r="8">
      <x:c r="A8" s="15" t="str">
        <x:v>2026.04.16</x:v>
      </x:c>
      <x:c r="B8" s="16" t="n">
        <x:v>4</x:v>
      </x:c>
      <x:c r="C8" s="16" t="str">
        <x:v>X</x:v>
      </x:c>
      <x:c r="D8" s="17" t="str">
        <x:v>1.7/4.7 cu. ft. Smart Combination Wall Oven with InstaView®, True Convection, Air Fry, and Steam Sous Vide</x:v>
      </x:c>
      <x:c r="E8" s="17" t="str">
        <x:v>WCEP6427F</x:v>
      </x:c>
      <x:c r="F8" s="18" t="n">
        <x:v>4599</x:v>
      </x:c>
      <x:c r="G8" s="18" t="n">
        <x:v>1800</x:v>
      </x:c>
      <x:c r="H8" s="19" t="n">
        <x:f t="shared" si="0">IF(OR(F8="",G8=""),"",IF(F8=0,"",G8/F8))</x:f>
        <x:v>0.3913894324853229</x:v>
      </x:c>
      <x:c r="I8" s="20" t="n">
        <x:f>IF(OR(F8="",G8=""),"",F8-G8)</x:f>
        <x:v>2799</x:v>
      </x:c>
      <x:c r="J8" s="19" t="str">
        <x:f>IF(E8="","",IFERROR((I8/LOOKUP(2,1/($E$5:E7=E8),$I$5:I7))-1,""))</x:f>
      </x:c>
      <x:c r="K8" t="str">
        <x:f>IF(E8="","",IFERROR(IF(B8&lt;&gt;LOOKUP(2,1/($E$5:E7=E8),$B$5:B7),"Ranking change",""),""))</x:f>
      </x:c>
    </x:row>
    <x:row r="9" ht="18">
      <x:c r="A9" s="22" t="str">
        <x:v>2026.04.16</x:v>
      </x:c>
      <x:c r="B9" s="23" t="n">
        <x:v>5</x:v>
      </x:c>
      <x:c r="C9" s="23" t="str">
        <x:v>O</x:v>
      </x:c>
      <x:c r="D9" s="24" t="str">
        <x:v>6.3 cu. ft. Smart Wi-Fi Enabled ProBake Convection® Electric Range with Air Fry &amp; EasyClean®</x:v>
      </x:c>
      <x:c r="E9" s="24" t="str">
        <x:v>LREN6323YE</x:v>
      </x:c>
      <x:c r="F9" s="25" t="n">
        <x:v>1299</x:v>
      </x:c>
      <x:c r="G9" s="25" t="n">
        <x:v>450</x:v>
      </x:c>
      <x:c r="H9" s="26" t="n">
        <x:f t="shared" si="0">IF(OR(F9="",G9=""),"",IF(F9=0,"",G9/F9))</x:f>
        <x:v>0.3464203233256351</x:v>
      </x:c>
      <x:c r="I9" s="25" t="n">
        <x:f>IF(OR(F9="",G9=""),"",F9-G9)</x:f>
        <x:v>849</x:v>
      </x:c>
      <x:c r="J9" s="26" t="str">
        <x:f>IF(E9="","",IFERROR((I9/LOOKUP(2,1/($E$5:E8=E9),$I$5:I8))-1,""))</x:f>
      </x:c>
      <x:c r="K9" t="str">
        <x:f>IF(E9="","",IFERROR(IF(B9&lt;&gt;LOOKUP(2,1/($E$5:E8=E9),$B$5:B8),"Ranking change",""),""))</x:f>
      </x:c>
    </x:row>
    <x:row r="10" ht="18">
      <x:c r="A10" s="6" t="str">
        <x:v>2026.04.20</x:v>
      </x:c>
      <x:c r="B10" s="11" t="n">
        <x:v>1</x:v>
      </x:c>
      <x:c r="C10" s="11" t="str">
        <x:v>O</x:v>
      </x:c>
      <x:c r="D10" s="3" t="str">
        <x:v>6.9 cu. ft. Smart Gas Double Oven Freestanding Range with ProBake Convection®, Air Fry &amp; Air Sous Vide</x:v>
      </x:c>
      <x:c r="E10" s="3" t="str">
        <x:v>LDGL6924S</x:v>
      </x:c>
      <x:c r="F10" s="8" t="n">
        <x:v>2399</x:v>
      </x:c>
      <x:c r="G10" s="8" t="n">
        <x:v>800</x:v>
      </x:c>
      <x:c r="H10" s="12" t="n">
        <x:f t="shared" si="0">IF(OR(F10="",G10=""),"",IF(F10=0,"",G10/F10))</x:f>
        <x:v>0.3334722801167153</x:v>
      </x:c>
      <x:c r="I10" s="8" t="n">
        <x:f>IF(OR(F10="",G10=""),"",F10-G10)</x:f>
        <x:v>1599</x:v>
      </x:c>
      <x:c r="J10" s="12" t="n">
        <x:f>IF(E10="","",IFERROR((I10/LOOKUP(2,1/($E$5:E9=E10),$I$5:I9))-1,""))</x:f>
        <x:v>0</x:v>
      </x:c>
      <x:c r="K10" t="str">
        <x:f>IF(E10="","",IFERROR(IF(B10&lt;&gt;LOOKUP(2,1/($E$5:E9=E10),$B$5:B9),"Ranking change",""),""))</x:f>
      </x:c>
    </x:row>
    <x:row r="11">
      <x:c r="A11" s="14" t="str">
        <x:v>2026.04.20</x:v>
      </x:c>
      <x:c r="B11" s="11" t="n">
        <x:v>2</x:v>
      </x:c>
      <x:c r="C11" s="11" t="str">
        <x:v>X</x:v>
      </x:c>
      <x:c r="D11" s="2" t="str">
        <x:v>4.7 cu. ft. Smart Wall Oven with Convection and Air Fry</x:v>
      </x:c>
      <x:c r="E11" s="2" t="str">
        <x:v>WSEP4723F</x:v>
      </x:c>
      <x:c r="F11" s="9" t="n">
        <x:v>2199</x:v>
      </x:c>
      <x:c r="G11" s="9" t="n">
        <x:v>900</x:v>
      </x:c>
      <x:c r="H11" s="12" t="n">
        <x:f t="shared" si="0">IF(OR(F11="",G11=""),"",IF(F11=0,"",G11/F11))</x:f>
        <x:v>0.4092769440654843</x:v>
      </x:c>
      <x:c r="I11" s="8" t="n">
        <x:f>IF(OR(F11="",G11=""),"",F11-G11)</x:f>
        <x:v>1299</x:v>
      </x:c>
      <x:c r="J11" s="12" t="n">
        <x:f t="shared" ref="J11:J59" si="1">IF(E11="","",IFERROR((I11/LOOKUP(2,1/($E$5:E10=E11),$I$5:I10))-1,""))</x:f>
        <x:v>0</x:v>
      </x:c>
      <x:c r="K11" t="str">
        <x:f>IF(E11="","",IFERROR(IF(B11&lt;&gt;LOOKUP(2,1/($E$5:E10=E11),$B$5:B10),"Ranking change",""),""))</x:f>
      </x:c>
    </x:row>
    <x:row r="12">
      <x:c r="A12" s="14" t="str">
        <x:v>2026.04.20</x:v>
      </x:c>
      <x:c r="B12" s="11" t="n">
        <x:v>3</x:v>
      </x:c>
      <x:c r="C12" s="11" t="str">
        <x:v>O</x:v>
      </x:c>
      <x:c r="D12" s="2" t="str">
        <x:v>6.3 cu. ft. Electric Slide-in Range</x:v>
      </x:c>
      <x:c r="E12" s="2" t="str">
        <x:v>LSEL6330SE</x:v>
      </x:c>
      <x:c r="F12" s="9" t="n">
        <x:v>899</x:v>
      </x:c>
      <x:c r="G12" s="9" t="n">
        <x:v>100</x:v>
      </x:c>
      <x:c r="H12" s="12" t="n">
        <x:f t="shared" si="0">IF(OR(F12="",G12=""),"",IF(F12=0,"",G12/F12))</x:f>
        <x:v>0.11123470522803114</x:v>
      </x:c>
      <x:c r="I12" s="8" t="n">
        <x:f>IF(OR(F12="",G12=""),"",F12-G12)</x:f>
        <x:v>799</x:v>
      </x:c>
      <x:c r="J12" s="12" t="n">
        <x:f t="shared" si="1">IF(E12="","",IFERROR((I12/LOOKUP(2,1/($E$5:E11=E12),$I$5:I11))-1,""))</x:f>
        <x:v>0</x:v>
      </x:c>
      <x:c r="K12" t="str">
        <x:f>IF(E12="","",IFERROR(IF(B12&lt;&gt;LOOKUP(2,1/($E$5:E11=E12),$B$5:B11),"Ranking change",""),""))</x:f>
      </x:c>
    </x:row>
    <x:row r="13">
      <x:c r="A13" s="21" t="str">
        <x:v>2026.04.20</x:v>
      </x:c>
      <x:c r="B13" s="16" t="n">
        <x:v>4</x:v>
      </x:c>
      <x:c r="C13" s="16" t="str">
        <x:v>O</x:v>
      </x:c>
      <x:c r="D13" s="17" t="str">
        <x:v>6.3 cu. ft. Smart Wi-Fi Enabled ProBake Convection® Electric Range with Air Fry &amp; EasyClean®</x:v>
      </x:c>
      <x:c r="E13" s="17" t="str">
        <x:v>LREN6323YE</x:v>
      </x:c>
      <x:c r="F13" s="18" t="n">
        <x:v>1299</x:v>
      </x:c>
      <x:c r="G13" s="18" t="n">
        <x:v>450</x:v>
      </x:c>
      <x:c r="H13" s="19" t="n">
        <x:f t="shared" si="0">IF(OR(F13="",G13=""),"",IF(F13=0,"",G13/F13))</x:f>
        <x:v>0.3464203233256351</x:v>
      </x:c>
      <x:c r="I13" s="20" t="n">
        <x:f>IF(OR(F13="",G13=""),"",F13-G13)</x:f>
        <x:v>849</x:v>
      </x:c>
      <x:c r="J13" s="19" t="n">
        <x:f>IF(E13="","",IFERROR((I13/LOOKUP(2,1/($E$5:E12=E13),$I$5:I12))-1,""))</x:f>
        <x:v>0</x:v>
      </x:c>
      <x:c r="K13" t="str">
        <x:f>IF(E13="","",IFERROR(IF(B13&lt;&gt;LOOKUP(2,1/($E$5:E12=E13),$B$5:B12),"Ranking change",""),""))</x:f>
        <x:v>Ranking change</x:v>
      </x:c>
    </x:row>
    <x:row r="14" ht="18">
      <x:c r="A14" s="27" t="str">
        <x:v>2026.04.20</x:v>
      </x:c>
      <x:c r="B14" s="23" t="n">
        <x:v>5</x:v>
      </x:c>
      <x:c r="C14" s="23" t="str">
        <x:v>X</x:v>
      </x:c>
      <x:c r="D14" s="24" t="str">
        <x:v>1.7/4.7 cu. ft. Smart Combination Wall Oven with InstaView®, True Convection, Air Fry, and Steam Sous Vide</x:v>
      </x:c>
      <x:c r="E14" s="24" t="str">
        <x:v>WCEP6427F</x:v>
      </x:c>
      <x:c r="F14" s="25" t="n">
        <x:v>4599</x:v>
      </x:c>
      <x:c r="G14" s="25" t="n">
        <x:v>1800</x:v>
      </x:c>
      <x:c r="H14" s="26" t="n">
        <x:f t="shared" si="0">IF(OR(F14="",G14=""),"",IF(F14=0,"",G14/F14))</x:f>
        <x:v>0.3913894324853229</x:v>
      </x:c>
      <x:c r="I14" s="25" t="n">
        <x:f>IF(OR(F14="",G14=""),"",F14-G14)</x:f>
        <x:v>2799</x:v>
      </x:c>
      <x:c r="J14" s="26" t="n">
        <x:f>IF(E14="","",IFERROR((I14/LOOKUP(2,1/($E$5:E13=E14),$I$5:I13))-1,""))</x:f>
        <x:v>0</x:v>
      </x:c>
      <x:c r="K14" t="str">
        <x:f>IF(E14="","",IFERROR(IF(B14&lt;&gt;LOOKUP(2,1/($E$5:E13=E14),$B$5:B13),"Ranking change",""),""))</x:f>
        <x:v>Ranking change</x:v>
      </x:c>
    </x:row>
    <x:row r="15" ht="18">
      <x:c r="A15" s="6"/>
      <x:c r="B15" s="11"/>
      <x:c r="C15" s="11"/>
      <x:c r="D15" s="3"/>
      <x:c r="E15" s="3"/>
      <x:c r="F15" s="8"/>
      <x:c r="G15" s="8"/>
      <x:c r="H15" s="12" t="str">
        <x:f t="shared" si="0">IF(OR(F15="",G15=""),"",IF(F15=0,"",G15/F15))</x:f>
      </x:c>
      <x:c r="I15" s="8" t="str">
        <x:f>IF(OR(F15="",G15=""),"",F15-G15)</x:f>
      </x:c>
      <x:c r="J15" s="12" t="str">
        <x:f t="shared" si="1">IF(E15="","",IFERROR((I15/LOOKUP(2,1/($E$5:E14=E15),$I$5:I14))-1,""))</x:f>
      </x:c>
      <x:c r="K15" t="str">
        <x:f>IF(E15="","",IFERROR(IF(B15&lt;&gt;LOOKUP(2,1/($E$5:E14=E15),$B$5:B14),"Ranking change",""),""))</x:f>
      </x:c>
    </x:row>
    <x:row r="16">
      <x:c r="A16" s="14"/>
      <x:c r="B16" s="11"/>
      <x:c r="C16" s="11"/>
      <x:c r="D16" s="2"/>
      <x:c r="E16" s="2"/>
      <x:c r="F16" s="9"/>
      <x:c r="G16" s="9"/>
      <x:c r="H16" s="12" t="str">
        <x:f t="shared" si="0">IF(OR(F16="",G16=""),"",IF(F16=0,"",G16/F16))</x:f>
      </x:c>
      <x:c r="I16" s="8" t="str">
        <x:f>IF(OR(F16="",G16=""),"",F16-G16)</x:f>
      </x:c>
      <x:c r="J16" s="12" t="str">
        <x:f t="shared" si="1">IF(E16="","",IFERROR((I16/LOOKUP(2,1/($E$5:E15=E16),$I$5:I15))-1,""))</x:f>
      </x:c>
      <x:c r="K16" t="str">
        <x:f>IF(E16="","",IFERROR(IF(B16&lt;&gt;LOOKUP(2,1/($E$5:E15=E16),$B$5:B15),"Ranking change",""),""))</x:f>
      </x:c>
    </x:row>
    <x:row r="17">
      <x:c r="A17" s="14"/>
      <x:c r="B17" s="11"/>
      <x:c r="C17" s="11"/>
      <x:c r="D17" s="2"/>
      <x:c r="E17" s="2"/>
      <x:c r="F17" s="9"/>
      <x:c r="G17" s="9"/>
      <x:c r="H17" s="12" t="str">
        <x:f t="shared" si="0">IF(OR(F17="",G17=""),"",IF(F17=0,"",G17/F17))</x:f>
      </x:c>
      <x:c r="I17" s="8" t="str">
        <x:f>IF(OR(F17="",G17=""),"",F17-G17)</x:f>
      </x:c>
      <x:c r="J17" s="12" t="str">
        <x:f t="shared" si="1">IF(E17="","",IFERROR((I17/LOOKUP(2,1/($E$5:E16=E17),$I$5:I16))-1,""))</x:f>
      </x:c>
      <x:c r="K17" t="str">
        <x:f>IF(E17="","",IFERROR(IF(B17&lt;&gt;LOOKUP(2,1/($E$5:E16=E17),$B$5:B16),"Ranking change",""),""))</x:f>
      </x:c>
    </x:row>
    <x:row r="18">
      <x:c r="A18" s="14"/>
      <x:c r="B18" s="11"/>
      <x:c r="C18" s="11"/>
      <x:c r="D18" s="2"/>
      <x:c r="E18" s="2"/>
      <x:c r="F18" s="9"/>
      <x:c r="G18" s="9"/>
      <x:c r="H18" s="12" t="str">
        <x:f t="shared" si="0">IF(OR(F18="",G18=""),"",IF(F18=0,"",G18/F18))</x:f>
      </x:c>
      <x:c r="I18" s="8" t="str">
        <x:f>IF(OR(F18="",G18=""),"",F18-G18)</x:f>
      </x:c>
      <x:c r="J18" s="12" t="str">
        <x:f t="shared" si="1">IF(E18="","",IFERROR((I18/LOOKUP(2,1/($E$5:E17=E18),$I$5:I17))-1,""))</x:f>
      </x:c>
      <x:c r="K18" t="str">
        <x:f>IF(E18="","",IFERROR(IF(B18&lt;&gt;LOOKUP(2,1/($E$5:E17=E18),$B$5:B17),"Ranking change",""),""))</x:f>
      </x:c>
    </x:row>
    <x:row r="19">
      <x:c r="A19" s="14"/>
      <x:c r="B19" s="11"/>
      <x:c r="C19" s="11"/>
      <x:c r="D19" s="2"/>
      <x:c r="E19" s="2"/>
      <x:c r="F19" s="9"/>
      <x:c r="G19" s="9"/>
      <x:c r="H19" s="12" t="str">
        <x:f t="shared" si="0">IF(OR(F19="",G19=""),"",IF(F19=0,"",G19/F19))</x:f>
      </x:c>
      <x:c r="I19" s="8" t="str">
        <x:f>IF(OR(F19="",G19=""),"",F19-G19)</x:f>
      </x:c>
      <x:c r="J19" s="12" t="str">
        <x:f t="shared" si="1">IF(E19="","",IFERROR((I19/LOOKUP(2,1/($E$5:E18=E19),$I$5:I18))-1,""))</x:f>
      </x:c>
      <x:c r="K19" t="str">
        <x:f>IF(E19="","",IFERROR(IF(B19&lt;&gt;LOOKUP(2,1/($E$5:E18=E19),$B$5:B18),"Ranking change",""),""))</x:f>
      </x:c>
    </x:row>
    <x:row r="20">
      <x:c r="A20" s="14"/>
      <x:c r="B20" s="11"/>
      <x:c r="C20" s="11"/>
      <x:c r="D20" s="2"/>
      <x:c r="E20" s="2"/>
      <x:c r="F20" s="9"/>
      <x:c r="G20" s="9"/>
      <x:c r="H20" s="12" t="str">
        <x:f t="shared" si="0">IF(OR(F20="",G20=""),"",IF(F20=0,"",G20/F20))</x:f>
      </x:c>
      <x:c r="I20" s="8" t="str">
        <x:f>IF(OR(F20="",G20=""),"",F20-G20)</x:f>
      </x:c>
      <x:c r="J20" s="12" t="str">
        <x:f t="shared" si="1">IF(E20="","",IFERROR((I20/LOOKUP(2,1/($E$5:E19=E20),$I$5:I19))-1,""))</x:f>
      </x:c>
      <x:c r="K20" t="str">
        <x:f>IF(E20="","",IFERROR(IF(B20&lt;&gt;LOOKUP(2,1/($E$5:E19=E20),$B$5:B19),"Ranking change",""),""))</x:f>
      </x:c>
    </x:row>
    <x:row r="21">
      <x:c r="A21" s="14"/>
      <x:c r="B21" s="11"/>
      <x:c r="C21" s="11"/>
      <x:c r="D21" s="2"/>
      <x:c r="E21" s="2"/>
      <x:c r="F21" s="9"/>
      <x:c r="G21" s="9"/>
      <x:c r="H21" s="12" t="str">
        <x:f t="shared" si="0">IF(OR(F21="",G21=""),"",IF(F21=0,"",G21/F21))</x:f>
      </x:c>
      <x:c r="I21" s="8" t="str">
        <x:f>IF(OR(F21="",G21=""),"",F21-G21)</x:f>
      </x:c>
      <x:c r="J21" s="12" t="str">
        <x:f t="shared" si="1">IF(E21="","",IFERROR((I21/LOOKUP(2,1/($E$5:E20=E21),$I$5:I20))-1,""))</x:f>
      </x:c>
      <x:c r="K21" t="str">
        <x:f>IF(E21="","",IFERROR(IF(B21&lt;&gt;LOOKUP(2,1/($E$5:E20=E21),$B$5:B20),"Ranking change",""),""))</x:f>
      </x:c>
    </x:row>
    <x:row r="22">
      <x:c r="A22" s="14"/>
      <x:c r="B22" s="11"/>
      <x:c r="C22" s="11"/>
      <x:c r="D22" s="2"/>
      <x:c r="E22" s="2"/>
      <x:c r="F22" s="9"/>
      <x:c r="G22" s="9"/>
      <x:c r="H22" s="12" t="str">
        <x:f t="shared" si="0">IF(OR(F22="",G22=""),"",IF(F22=0,"",G22/F22))</x:f>
      </x:c>
      <x:c r="I22" s="8" t="str">
        <x:f>IF(OR(F22="",G22=""),"",F22-G22)</x:f>
      </x:c>
      <x:c r="J22" s="12" t="str">
        <x:f t="shared" si="1">IF(E22="","",IFERROR((I22/LOOKUP(2,1/($E$5:E21=E22),$I$5:I21))-1,""))</x:f>
      </x:c>
      <x:c r="K22" t="str">
        <x:f>IF(E22="","",IFERROR(IF(B22&lt;&gt;LOOKUP(2,1/($E$5:E21=E22),$B$5:B21),"Ranking change",""),""))</x:f>
      </x:c>
    </x:row>
    <x:row r="23">
      <x:c r="A23" s="14"/>
      <x:c r="B23" s="11"/>
      <x:c r="C23" s="11"/>
      <x:c r="D23" s="2"/>
      <x:c r="E23" s="2"/>
      <x:c r="F23" s="9"/>
      <x:c r="G23" s="9"/>
      <x:c r="H23" s="12" t="str">
        <x:f t="shared" si="0">IF(OR(F23="",G23=""),"",IF(F23=0,"",G23/F23))</x:f>
      </x:c>
      <x:c r="I23" s="8" t="str">
        <x:f>IF(OR(F23="",G23=""),"",F23-G23)</x:f>
      </x:c>
      <x:c r="J23" s="12" t="str">
        <x:f t="shared" si="1">IF(E23="","",IFERROR((I23/LOOKUP(2,1/($E$5:E22=E23),$I$5:I22))-1,""))</x:f>
      </x:c>
      <x:c r="K23" t="str">
        <x:f>IF(E23="","",IFERROR(IF(B23&lt;&gt;LOOKUP(2,1/($E$5:E22=E23),$B$5:B22),"Ranking change",""),""))</x:f>
      </x:c>
    </x:row>
    <x:row r="24">
      <x:c r="A24" s="14"/>
      <x:c r="B24" s="11"/>
      <x:c r="C24" s="11"/>
      <x:c r="D24" s="2"/>
      <x:c r="E24" s="2"/>
      <x:c r="F24" s="9"/>
      <x:c r="G24" s="9"/>
      <x:c r="H24" s="12" t="str">
        <x:f t="shared" si="0">IF(OR(F24="",G24=""),"",IF(F24=0,"",G24/F24))</x:f>
      </x:c>
      <x:c r="I24" s="8" t="str">
        <x:f>IF(OR(F24="",G24=""),"",F24-G24)</x:f>
      </x:c>
      <x:c r="J24" s="12" t="str">
        <x:f t="shared" si="1">IF(E24="","",IFERROR((I24/LOOKUP(2,1/($E$5:E23=E24),$I$5:I23))-1,""))</x:f>
      </x:c>
      <x:c r="K24" t="str">
        <x:f>IF(E24="","",IFERROR(IF(B24&lt;&gt;LOOKUP(2,1/($E$5:E23=E24),$B$5:B23),"Ranking change",""),""))</x:f>
      </x:c>
    </x:row>
    <x:row r="25">
      <x:c r="A25" s="14"/>
      <x:c r="B25" s="11"/>
      <x:c r="C25" s="11"/>
      <x:c r="D25" s="2"/>
      <x:c r="E25" s="2"/>
      <x:c r="F25" s="9"/>
      <x:c r="G25" s="9"/>
      <x:c r="H25" s="12" t="str">
        <x:f t="shared" si="0">IF(OR(F25="",G25=""),"",IF(F25=0,"",G25/F25))</x:f>
      </x:c>
      <x:c r="I25" s="8" t="str">
        <x:f>IF(OR(F25="",G25=""),"",F25-G25)</x:f>
      </x:c>
      <x:c r="J25" s="12" t="str">
        <x:f t="shared" si="1">IF(E25="","",IFERROR((I25/LOOKUP(2,1/($E$5:E24=E25),$I$5:I24))-1,""))</x:f>
      </x:c>
      <x:c r="K25" t="str">
        <x:f>IF(E25="","",IFERROR(IF(B25&lt;&gt;LOOKUP(2,1/($E$5:E24=E25),$B$5:B24),"Ranking change",""),""))</x:f>
      </x:c>
    </x:row>
    <x:row r="26">
      <x:c r="A26" s="14"/>
      <x:c r="B26" s="11"/>
      <x:c r="C26" s="11"/>
      <x:c r="D26" s="2"/>
      <x:c r="E26" s="2"/>
      <x:c r="F26" s="9"/>
      <x:c r="G26" s="9"/>
      <x:c r="H26" s="12" t="str">
        <x:f t="shared" si="0">IF(OR(F26="",G26=""),"",IF(F26=0,"",G26/F26))</x:f>
      </x:c>
      <x:c r="I26" s="8" t="str">
        <x:f>IF(OR(F26="",G26=""),"",F26-G26)</x:f>
      </x:c>
      <x:c r="J26" s="12" t="str">
        <x:f t="shared" si="1">IF(E26="","",IFERROR((I26/LOOKUP(2,1/($E$5:E25=E26),$I$5:I25))-1,""))</x:f>
      </x:c>
      <x:c r="K26" t="str">
        <x:f>IF(E26="","",IFERROR(IF(B26&lt;&gt;LOOKUP(2,1/($E$5:E25=E26),$B$5:B25),"Ranking change",""),""))</x:f>
      </x:c>
    </x:row>
    <x:row r="27">
      <x:c r="A27" s="14"/>
      <x:c r="B27" s="11"/>
      <x:c r="C27" s="11"/>
      <x:c r="D27" s="2"/>
      <x:c r="E27" s="2"/>
      <x:c r="F27" s="9"/>
      <x:c r="G27" s="9"/>
      <x:c r="H27" s="12" t="str">
        <x:f t="shared" si="0">IF(OR(F27="",G27=""),"",IF(F27=0,"",G27/F27))</x:f>
      </x:c>
      <x:c r="I27" s="8" t="str">
        <x:f>IF(OR(F27="",G27=""),"",F27-G27)</x:f>
      </x:c>
      <x:c r="J27" s="12" t="str">
        <x:f t="shared" si="1">IF(E27="","",IFERROR((I27/LOOKUP(2,1/($E$5:E26=E27),$I$5:I26))-1,""))</x:f>
      </x:c>
      <x:c r="K27" t="str">
        <x:f>IF(E27="","",IFERROR(IF(B27&lt;&gt;LOOKUP(2,1/($E$5:E26=E27),$B$5:B26),"Ranking change",""),""))</x:f>
      </x:c>
    </x:row>
    <x:row r="28">
      <x:c r="A28" s="14"/>
      <x:c r="B28" s="11"/>
      <x:c r="C28" s="11"/>
      <x:c r="D28" s="2"/>
      <x:c r="E28" s="2"/>
      <x:c r="F28" s="9"/>
      <x:c r="G28" s="9"/>
      <x:c r="H28" s="12" t="str">
        <x:f t="shared" si="0">IF(OR(F28="",G28=""),"",IF(F28=0,"",G28/F28))</x:f>
      </x:c>
      <x:c r="I28" s="8" t="str">
        <x:f>IF(OR(F28="",G28=""),"",F28-G28)</x:f>
      </x:c>
      <x:c r="J28" s="12" t="str">
        <x:f t="shared" si="1">IF(E28="","",IFERROR((I28/LOOKUP(2,1/($E$5:E27=E28),$I$5:I27))-1,""))</x:f>
      </x:c>
      <x:c r="K28" t="str">
        <x:f>IF(E28="","",IFERROR(IF(B28&lt;&gt;LOOKUP(2,1/($E$5:E27=E28),$B$5:B27),"Ranking change",""),""))</x:f>
      </x:c>
    </x:row>
    <x:row r="29">
      <x:c r="A29" s="14"/>
      <x:c r="B29" s="11"/>
      <x:c r="C29" s="11"/>
      <x:c r="D29" s="2"/>
      <x:c r="E29" s="2"/>
      <x:c r="F29" s="9"/>
      <x:c r="G29" s="9"/>
      <x:c r="H29" s="12" t="str">
        <x:f t="shared" si="0">IF(OR(F29="",G29=""),"",IF(F29=0,"",G29/F29))</x:f>
      </x:c>
      <x:c r="I29" s="8" t="str">
        <x:f>IF(OR(F29="",G29=""),"",F29-G29)</x:f>
      </x:c>
      <x:c r="J29" s="12" t="str">
        <x:f t="shared" si="1">IF(E29="","",IFERROR((I29/LOOKUP(2,1/($E$5:E28=E29),$I$5:I28))-1,""))</x:f>
      </x:c>
      <x:c r="K29" t="str">
        <x:f>IF(E29="","",IFERROR(IF(B29&lt;&gt;LOOKUP(2,1/($E$5:E28=E29),$B$5:B28),"Ranking change",""),""))</x:f>
      </x:c>
    </x:row>
    <x:row r="30">
      <x:c r="A30" s="14"/>
      <x:c r="B30" s="11"/>
      <x:c r="C30" s="11"/>
      <x:c r="D30" s="2"/>
      <x:c r="E30" s="2"/>
      <x:c r="F30" s="9"/>
      <x:c r="G30" s="9"/>
      <x:c r="H30" s="12" t="str">
        <x:f t="shared" si="0">IF(OR(F30="",G30=""),"",IF(F30=0,"",G30/F30))</x:f>
      </x:c>
      <x:c r="I30" s="8" t="str">
        <x:f>IF(OR(F30="",G30=""),"",F30-G30)</x:f>
      </x:c>
      <x:c r="J30" s="12" t="str">
        <x:f t="shared" si="1">IF(E30="","",IFERROR((I30/LOOKUP(2,1/($E$5:E29=E30),$I$5:I29))-1,""))</x:f>
      </x:c>
      <x:c r="K30" t="str">
        <x:f>IF(E30="","",IFERROR(IF(B30&lt;&gt;LOOKUP(2,1/($E$5:E29=E30),$B$5:B29),"Ranking change",""),""))</x:f>
      </x:c>
    </x:row>
    <x:row r="31">
      <x:c r="A31" s="14"/>
      <x:c r="B31" s="11"/>
      <x:c r="C31" s="11"/>
      <x:c r="D31" s="2"/>
      <x:c r="E31" s="2"/>
      <x:c r="F31" s="9"/>
      <x:c r="G31" s="9"/>
      <x:c r="H31" s="12" t="str">
        <x:f t="shared" si="0">IF(OR(F31="",G31=""),"",IF(F31=0,"",G31/F31))</x:f>
      </x:c>
      <x:c r="I31" s="8" t="str">
        <x:f>IF(OR(F31="",G31=""),"",F31-G31)</x:f>
      </x:c>
      <x:c r="J31" s="12" t="str">
        <x:f t="shared" si="1">IF(E31="","",IFERROR((I31/LOOKUP(2,1/($E$5:E30=E31),$I$5:I30))-1,""))</x:f>
      </x:c>
      <x:c r="K31" t="str">
        <x:f>IF(E31="","",IFERROR(IF(B31&lt;&gt;LOOKUP(2,1/($E$5:E30=E31),$B$5:B30),"Ranking change",""),""))</x:f>
      </x:c>
    </x:row>
    <x:row r="32">
      <x:c r="A32" s="14"/>
      <x:c r="B32" s="11"/>
      <x:c r="C32" s="11"/>
      <x:c r="D32" s="2"/>
      <x:c r="E32" s="2"/>
      <x:c r="F32" s="9"/>
      <x:c r="G32" s="9"/>
      <x:c r="H32" s="12" t="str">
        <x:f t="shared" si="0">IF(OR(F32="",G32=""),"",IF(F32=0,"",G32/F32))</x:f>
      </x:c>
      <x:c r="I32" s="8" t="str">
        <x:f>IF(OR(F32="",G32=""),"",F32-G32)</x:f>
      </x:c>
      <x:c r="J32" s="12" t="str">
        <x:f t="shared" si="1">IF(E32="","",IFERROR((I32/LOOKUP(2,1/($E$5:E31=E32),$I$5:I31))-1,""))</x:f>
      </x:c>
      <x:c r="K32" t="str">
        <x:f>IF(E32="","",IFERROR(IF(B32&lt;&gt;LOOKUP(2,1/($E$5:E31=E32),$B$5:B31),"Ranking change",""),""))</x:f>
      </x:c>
    </x:row>
    <x:row r="33">
      <x:c r="A33" s="14"/>
      <x:c r="B33" s="11"/>
      <x:c r="C33" s="11"/>
      <x:c r="D33" s="2"/>
      <x:c r="E33" s="2"/>
      <x:c r="F33" s="9"/>
      <x:c r="G33" s="9"/>
      <x:c r="H33" s="12" t="str">
        <x:f t="shared" si="0">IF(OR(F33="",G33=""),"",IF(F33=0,"",G33/F33))</x:f>
      </x:c>
      <x:c r="I33" s="8" t="str">
        <x:f>IF(OR(F33="",G33=""),"",F33-G33)</x:f>
      </x:c>
      <x:c r="J33" s="12" t="str">
        <x:f t="shared" si="1">IF(E33="","",IFERROR((I33/LOOKUP(2,1/($E$5:E32=E33),$I$5:I32))-1,""))</x:f>
      </x:c>
      <x:c r="K33" t="str">
        <x:f>IF(E33="","",IFERROR(IF(B33&lt;&gt;LOOKUP(2,1/($E$5:E32=E33),$B$5:B32),"Ranking change",""),""))</x:f>
      </x:c>
    </x:row>
    <x:row r="34">
      <x:c r="A34" s="14"/>
      <x:c r="B34" s="11"/>
      <x:c r="C34" s="11"/>
      <x:c r="D34" s="2"/>
      <x:c r="E34" s="2"/>
      <x:c r="F34" s="9"/>
      <x:c r="G34" s="9"/>
      <x:c r="H34" s="12" t="str">
        <x:f t="shared" si="0">IF(OR(F34="",G34=""),"",IF(F34=0,"",G34/F34))</x:f>
      </x:c>
      <x:c r="I34" s="8" t="str">
        <x:f>IF(OR(F34="",G34=""),"",F34-G34)</x:f>
      </x:c>
      <x:c r="J34" s="12" t="str">
        <x:f t="shared" si="1">IF(E34="","",IFERROR((I34/LOOKUP(2,1/($E$5:E33=E34),$I$5:I33))-1,""))</x:f>
      </x:c>
      <x:c r="K34" t="str">
        <x:f>IF(E34="","",IFERROR(IF(B34&lt;&gt;LOOKUP(2,1/($E$5:E33=E34),$B$5:B33),"Ranking change",""),""))</x:f>
      </x:c>
    </x:row>
    <x:row r="35">
      <x:c r="A35" s="14"/>
      <x:c r="B35" s="11"/>
      <x:c r="C35" s="11"/>
      <x:c r="D35" s="2"/>
      <x:c r="E35" s="2"/>
      <x:c r="F35" s="9"/>
      <x:c r="G35" s="9"/>
      <x:c r="H35" s="12" t="str">
        <x:f t="shared" si="0">IF(OR(F35="",G35=""),"",IF(F35=0,"",G35/F35))</x:f>
      </x:c>
      <x:c r="I35" s="8" t="str">
        <x:f t="shared" ref="I35:I59" si="2">IF(OR(F35="",G35=""),"",F35-G35)</x:f>
      </x:c>
      <x:c r="J35" s="12" t="str">
        <x:f t="shared" si="1">IF(E35="","",IFERROR((I35/LOOKUP(2,1/($E$5:E34=E35),$I$5:I34))-1,""))</x:f>
      </x:c>
      <x:c r="K35" t="str">
        <x:f>IF(E35="","",IFERROR(IF(B35&lt;&gt;LOOKUP(2,1/($E$5:E34=E35),$B$5:B34),"Ranking change",""),""))</x:f>
      </x:c>
    </x:row>
    <x:row r="36">
      <x:c r="A36" s="14"/>
      <x:c r="B36" s="11"/>
      <x:c r="C36" s="11"/>
      <x:c r="D36" s="2"/>
      <x:c r="E36" s="2"/>
      <x:c r="F36" s="9"/>
      <x:c r="G36" s="9"/>
      <x:c r="H36" s="12" t="str">
        <x:f t="shared" si="0">IF(OR(F36="",G36=""),"",IF(F36=0,"",G36/F36))</x:f>
      </x:c>
      <x:c r="I36" s="8" t="str">
        <x:f t="shared" si="2">IF(OR(F36="",G36=""),"",F36-G36)</x:f>
      </x:c>
      <x:c r="J36" s="12" t="str">
        <x:f t="shared" si="1">IF(E36="","",IFERROR((I36/LOOKUP(2,1/($E$5:E35=E36),$I$5:I35))-1,""))</x:f>
      </x:c>
      <x:c r="K36" t="str">
        <x:f>IF(E36="","",IFERROR(IF(B36&lt;&gt;LOOKUP(2,1/($E$5:E35=E36),$B$5:B35),"Ranking change",""),""))</x:f>
      </x:c>
    </x:row>
    <x:row r="37">
      <x:c r="A37" s="14"/>
      <x:c r="B37" s="11"/>
      <x:c r="C37" s="11"/>
      <x:c r="D37" s="2"/>
      <x:c r="E37" s="2"/>
      <x:c r="F37" s="9"/>
      <x:c r="G37" s="9"/>
      <x:c r="H37" s="12" t="str">
        <x:f t="shared" si="0">IF(OR(F37="",G37=""),"",IF(F37=0,"",G37/F37))</x:f>
      </x:c>
      <x:c r="I37" s="8" t="str">
        <x:f t="shared" si="2">IF(OR(F37="",G37=""),"",F37-G37)</x:f>
      </x:c>
      <x:c r="J37" s="12" t="str">
        <x:f t="shared" si="1">IF(E37="","",IFERROR((I37/LOOKUP(2,1/($E$5:E36=E37),$I$5:I36))-1,""))</x:f>
      </x:c>
      <x:c r="K37" t="str">
        <x:f>IF(E37="","",IFERROR(IF(B37&lt;&gt;LOOKUP(2,1/($E$5:E36=E37),$B$5:B36),"Ranking change",""),""))</x:f>
      </x:c>
    </x:row>
    <x:row r="38">
      <x:c r="A38" s="14"/>
      <x:c r="B38" s="11"/>
      <x:c r="C38" s="11"/>
      <x:c r="D38" s="2"/>
      <x:c r="E38" s="2"/>
      <x:c r="F38" s="9"/>
      <x:c r="G38" s="9"/>
      <x:c r="H38" s="12" t="str">
        <x:f t="shared" si="0">IF(OR(F38="",G38=""),"",IF(F38=0,"",G38/F38))</x:f>
      </x:c>
      <x:c r="I38" s="8" t="str">
        <x:f t="shared" si="2">IF(OR(F38="",G38=""),"",F38-G38)</x:f>
      </x:c>
      <x:c r="J38" s="12" t="str">
        <x:f t="shared" si="1">IF(E38="","",IFERROR((I38/LOOKUP(2,1/($E$5:E37=E38),$I$5:I37))-1,""))</x:f>
      </x:c>
      <x:c r="K38" t="str">
        <x:f>IF(E38="","",IFERROR(IF(B38&lt;&gt;LOOKUP(2,1/($E$5:E37=E38),$B$5:B37),"Ranking change",""),""))</x:f>
      </x:c>
    </x:row>
    <x:row r="39">
      <x:c r="A39" s="14"/>
      <x:c r="B39" s="11"/>
      <x:c r="C39" s="11"/>
      <x:c r="D39" s="2"/>
      <x:c r="E39" s="2"/>
      <x:c r="F39" s="9"/>
      <x:c r="G39" s="9"/>
      <x:c r="H39" s="12" t="str">
        <x:f t="shared" si="0">IF(OR(F39="",G39=""),"",IF(F39=0,"",G39/F39))</x:f>
      </x:c>
      <x:c r="I39" s="8" t="str">
        <x:f t="shared" si="2">IF(OR(F39="",G39=""),"",F39-G39)</x:f>
      </x:c>
      <x:c r="J39" s="12" t="str">
        <x:f t="shared" si="1">IF(E39="","",IFERROR((I39/LOOKUP(2,1/($E$5:E38=E39),$I$5:I38))-1,""))</x:f>
      </x:c>
      <x:c r="K39" t="str">
        <x:f>IF(E39="","",IFERROR(IF(B39&lt;&gt;LOOKUP(2,1/($E$5:E38=E39),$B$5:B38),"Ranking change",""),""))</x:f>
      </x:c>
    </x:row>
    <x:row r="40">
      <x:c r="A40" s="14"/>
      <x:c r="B40" s="11"/>
      <x:c r="C40" s="11"/>
      <x:c r="D40" s="2"/>
      <x:c r="E40" s="2"/>
      <x:c r="F40" s="9"/>
      <x:c r="G40" s="9"/>
      <x:c r="H40" s="12" t="str">
        <x:f t="shared" si="0">IF(OR(F40="",G40=""),"",IF(F40=0,"",G40/F40))</x:f>
      </x:c>
      <x:c r="I40" s="8" t="str">
        <x:f t="shared" si="2">IF(OR(F40="",G40=""),"",F40-G40)</x:f>
      </x:c>
      <x:c r="J40" s="12" t="str">
        <x:f t="shared" si="1">IF(E40="","",IFERROR((I40/LOOKUP(2,1/($E$5:E39=E40),$I$5:I39))-1,""))</x:f>
      </x:c>
      <x:c r="K40" t="str">
        <x:f>IF(E40="","",IFERROR(IF(B40&lt;&gt;LOOKUP(2,1/($E$5:E39=E40),$B$5:B39),"Ranking change",""),""))</x:f>
      </x:c>
    </x:row>
    <x:row r="41">
      <x:c r="A41" s="14"/>
      <x:c r="B41" s="11"/>
      <x:c r="C41" s="11"/>
      <x:c r="D41" s="2"/>
      <x:c r="E41" s="2"/>
      <x:c r="F41" s="9"/>
      <x:c r="G41" s="9"/>
      <x:c r="H41" s="12" t="str">
        <x:f t="shared" si="0">IF(OR(F41="",G41=""),"",IF(F41=0,"",G41/F41))</x:f>
      </x:c>
      <x:c r="I41" s="8" t="str">
        <x:f t="shared" si="2">IF(OR(F41="",G41=""),"",F41-G41)</x:f>
      </x:c>
      <x:c r="J41" s="12" t="str">
        <x:f t="shared" si="1">IF(E41="","",IFERROR((I41/LOOKUP(2,1/($E$5:E40=E41),$I$5:I40))-1,""))</x:f>
      </x:c>
      <x:c r="K41" t="str">
        <x:f>IF(E41="","",IFERROR(IF(B41&lt;&gt;LOOKUP(2,1/($E$5:E40=E41),$B$5:B40),"Ranking change",""),""))</x:f>
      </x:c>
    </x:row>
    <x:row r="42">
      <x:c r="A42" s="14"/>
      <x:c r="B42" s="11"/>
      <x:c r="C42" s="11"/>
      <x:c r="D42" s="2"/>
      <x:c r="E42" s="2"/>
      <x:c r="F42" s="9"/>
      <x:c r="G42" s="9"/>
      <x:c r="H42" s="12" t="str">
        <x:f t="shared" si="0">IF(OR(F42="",G42=""),"",IF(F42=0,"",G42/F42))</x:f>
      </x:c>
      <x:c r="I42" s="8" t="str">
        <x:f t="shared" si="2">IF(OR(F42="",G42=""),"",F42-G42)</x:f>
      </x:c>
      <x:c r="J42" s="12" t="str">
        <x:f t="shared" si="1">IF(E42="","",IFERROR((I42/LOOKUP(2,1/($E$5:E41=E42),$I$5:I41))-1,""))</x:f>
      </x:c>
      <x:c r="K42" t="str">
        <x:f>IF(E42="","",IFERROR(IF(B42&lt;&gt;LOOKUP(2,1/($E$5:E41=E42),$B$5:B41),"Ranking change",""),""))</x:f>
      </x:c>
    </x:row>
    <x:row r="43">
      <x:c r="A43" s="14"/>
      <x:c r="B43" s="11"/>
      <x:c r="C43" s="11"/>
      <x:c r="D43" s="2"/>
      <x:c r="E43" s="2"/>
      <x:c r="F43" s="9"/>
      <x:c r="G43" s="9"/>
      <x:c r="H43" s="12" t="str">
        <x:f t="shared" si="0">IF(OR(F43="",G43=""),"",IF(F43=0,"",G43/F43))</x:f>
      </x:c>
      <x:c r="I43" s="8" t="str">
        <x:f t="shared" si="2">IF(OR(F43="",G43=""),"",F43-G43)</x:f>
      </x:c>
      <x:c r="J43" s="12" t="str">
        <x:f t="shared" si="1">IF(E43="","",IFERROR((I43/LOOKUP(2,1/($E$5:E42=E43),$I$5:I42))-1,""))</x:f>
      </x:c>
      <x:c r="K43" t="str">
        <x:f>IF(E43="","",IFERROR(IF(B43&lt;&gt;LOOKUP(2,1/($E$5:E42=E43),$B$5:B42),"Ranking change",""),""))</x:f>
      </x:c>
    </x:row>
    <x:row r="44">
      <x:c r="A44" s="14"/>
      <x:c r="B44" s="11"/>
      <x:c r="C44" s="11"/>
      <x:c r="D44" s="2"/>
      <x:c r="E44" s="2"/>
      <x:c r="F44" s="9"/>
      <x:c r="G44" s="9"/>
      <x:c r="H44" s="12" t="str">
        <x:f t="shared" si="0">IF(OR(F44="",G44=""),"",IF(F44=0,"",G44/F44))</x:f>
      </x:c>
      <x:c r="I44" s="8" t="str">
        <x:f t="shared" si="2">IF(OR(F44="",G44=""),"",F44-G44)</x:f>
      </x:c>
      <x:c r="J44" s="12" t="str">
        <x:f t="shared" si="1">IF(E44="","",IFERROR((I44/LOOKUP(2,1/($E$5:E43=E44),$I$5:I43))-1,""))</x:f>
      </x:c>
      <x:c r="K44" t="str">
        <x:f>IF(E44="","",IFERROR(IF(B44&lt;&gt;LOOKUP(2,1/($E$5:E43=E44),$B$5:B43),"Ranking change",""),""))</x:f>
      </x:c>
    </x:row>
    <x:row r="45">
      <x:c r="A45" s="14"/>
      <x:c r="B45" s="11"/>
      <x:c r="C45" s="11"/>
      <x:c r="D45" s="2"/>
      <x:c r="E45" s="2"/>
      <x:c r="F45" s="9"/>
      <x:c r="G45" s="9"/>
      <x:c r="H45" s="12" t="str">
        <x:f t="shared" si="0">IF(OR(F45="",G45=""),"",IF(F45=0,"",G45/F45))</x:f>
      </x:c>
      <x:c r="I45" s="8" t="str">
        <x:f t="shared" si="2">IF(OR(F45="",G45=""),"",F45-G45)</x:f>
      </x:c>
      <x:c r="J45" s="12" t="str">
        <x:f t="shared" si="1">IF(E45="","",IFERROR((I45/LOOKUP(2,1/($E$5:E44=E45),$I$5:I44))-1,""))</x:f>
      </x:c>
      <x:c r="K45" t="str">
        <x:f>IF(E45="","",IFERROR(IF(B45&lt;&gt;LOOKUP(2,1/($E$5:E44=E45),$B$5:B44),"Ranking change",""),""))</x:f>
      </x:c>
    </x:row>
    <x:row r="46">
      <x:c r="A46" s="14"/>
      <x:c r="B46" s="11"/>
      <x:c r="C46" s="11"/>
      <x:c r="D46" s="2"/>
      <x:c r="E46" s="2"/>
      <x:c r="F46" s="9"/>
      <x:c r="G46" s="9"/>
      <x:c r="H46" s="12" t="str">
        <x:f t="shared" si="0">IF(OR(F46="",G46=""),"",IF(F46=0,"",G46/F46))</x:f>
      </x:c>
      <x:c r="I46" s="8" t="str">
        <x:f t="shared" si="2">IF(OR(F46="",G46=""),"",F46-G46)</x:f>
      </x:c>
      <x:c r="J46" s="12" t="str">
        <x:f t="shared" si="1">IF(E46="","",IFERROR((I46/LOOKUP(2,1/($E$5:E45=E46),$I$5:I45))-1,""))</x:f>
      </x:c>
      <x:c r="K46" t="str">
        <x:f>IF(E46="","",IFERROR(IF(B46&lt;&gt;LOOKUP(2,1/($E$5:E45=E46),$B$5:B45),"Ranking change",""),""))</x:f>
      </x:c>
    </x:row>
    <x:row r="47">
      <x:c r="A47" s="14"/>
      <x:c r="B47" s="11"/>
      <x:c r="C47" s="11"/>
      <x:c r="D47" s="2"/>
      <x:c r="E47" s="2"/>
      <x:c r="F47" s="9"/>
      <x:c r="G47" s="9"/>
      <x:c r="H47" s="12" t="str">
        <x:f t="shared" si="0">IF(OR(F47="",G47=""),"",IF(F47=0,"",G47/F47))</x:f>
      </x:c>
      <x:c r="I47" s="8" t="str">
        <x:f t="shared" si="2">IF(OR(F47="",G47=""),"",F47-G47)</x:f>
      </x:c>
      <x:c r="J47" s="12" t="str">
        <x:f t="shared" si="1">IF(E47="","",IFERROR((I47/LOOKUP(2,1/($E$5:E46=E47),$I$5:I46))-1,""))</x:f>
      </x:c>
      <x:c r="K47" t="str">
        <x:f>IF(E47="","",IFERROR(IF(B47&lt;&gt;LOOKUP(2,1/($E$5:E46=E47),$B$5:B46),"Ranking change",""),""))</x:f>
      </x:c>
    </x:row>
    <x:row r="48">
      <x:c r="A48" s="14"/>
      <x:c r="B48" s="11"/>
      <x:c r="C48" s="11"/>
      <x:c r="D48" s="2"/>
      <x:c r="E48" s="2"/>
      <x:c r="F48" s="9"/>
      <x:c r="G48" s="9"/>
      <x:c r="H48" s="12" t="str">
        <x:f t="shared" si="0">IF(OR(F48="",G48=""),"",IF(F48=0,"",G48/F48))</x:f>
      </x:c>
      <x:c r="I48" s="8" t="str">
        <x:f t="shared" si="2">IF(OR(F48="",G48=""),"",F48-G48)</x:f>
      </x:c>
      <x:c r="J48" s="12" t="str">
        <x:f t="shared" si="1">IF(E48="","",IFERROR((I48/LOOKUP(2,1/($E$5:E47=E48),$I$5:I47))-1,""))</x:f>
      </x:c>
      <x:c r="K48" t="str">
        <x:f>IF(E48="","",IFERROR(IF(B48&lt;&gt;LOOKUP(2,1/($E$5:E47=E48),$B$5:B47),"Ranking change",""),""))</x:f>
      </x:c>
    </x:row>
    <x:row r="49">
      <x:c r="A49" s="14"/>
      <x:c r="B49" s="11"/>
      <x:c r="C49" s="11"/>
      <x:c r="D49" s="2"/>
      <x:c r="E49" s="2"/>
      <x:c r="F49" s="9"/>
      <x:c r="G49" s="9"/>
      <x:c r="H49" s="12" t="str">
        <x:f t="shared" si="0">IF(OR(F49="",G49=""),"",IF(F49=0,"",G49/F49))</x:f>
      </x:c>
      <x:c r="I49" s="8" t="str">
        <x:f t="shared" si="2">IF(OR(F49="",G49=""),"",F49-G49)</x:f>
      </x:c>
      <x:c r="J49" s="12" t="str">
        <x:f t="shared" si="1">IF(E49="","",IFERROR((I49/LOOKUP(2,1/($E$5:E48=E49),$I$5:I48))-1,""))</x:f>
      </x:c>
      <x:c r="K49" t="str">
        <x:f>IF(E49="","",IFERROR(IF(B49&lt;&gt;LOOKUP(2,1/($E$5:E48=E49),$B$5:B48),"Ranking change",""),""))</x:f>
      </x:c>
    </x:row>
    <x:row r="50">
      <x:c r="A50" s="14"/>
      <x:c r="B50" s="11"/>
      <x:c r="C50" s="11"/>
      <x:c r="D50" s="2"/>
      <x:c r="E50" s="2"/>
      <x:c r="F50" s="9"/>
      <x:c r="G50" s="9"/>
      <x:c r="H50" s="12" t="str">
        <x:f t="shared" si="0">IF(OR(F50="",G50=""),"",IF(F50=0,"",G50/F50))</x:f>
      </x:c>
      <x:c r="I50" s="8" t="str">
        <x:f t="shared" si="2">IF(OR(F50="",G50=""),"",F50-G50)</x:f>
      </x:c>
      <x:c r="J50" s="12" t="str">
        <x:f t="shared" si="1">IF(E50="","",IFERROR((I50/LOOKUP(2,1/($E$5:E49=E50),$I$5:I49))-1,""))</x:f>
      </x:c>
      <x:c r="K50" t="str">
        <x:f>IF(E50="","",IFERROR(IF(B50&lt;&gt;LOOKUP(2,1/($E$5:E49=E50),$B$5:B49),"Ranking change",""),""))</x:f>
      </x:c>
    </x:row>
    <x:row r="51">
      <x:c r="A51" s="14"/>
      <x:c r="B51" s="11"/>
      <x:c r="C51" s="11"/>
      <x:c r="D51" s="2"/>
      <x:c r="E51" s="2"/>
      <x:c r="F51" s="9"/>
      <x:c r="G51" s="9"/>
      <x:c r="H51" s="12" t="str">
        <x:f t="shared" si="0">IF(OR(F51="",G51=""),"",IF(F51=0,"",G51/F51))</x:f>
      </x:c>
      <x:c r="I51" s="8" t="str">
        <x:f t="shared" si="2">IF(OR(F51="",G51=""),"",F51-G51)</x:f>
      </x:c>
      <x:c r="J51" s="12" t="str">
        <x:f t="shared" si="1">IF(E51="","",IFERROR((I51/LOOKUP(2,1/($E$5:E50=E51),$I$5:I50))-1,""))</x:f>
      </x:c>
      <x:c r="K51" t="str">
        <x:f>IF(E51="","",IFERROR(IF(B51&lt;&gt;LOOKUP(2,1/($E$5:E50=E51),$B$5:B50),"Ranking change",""),""))</x:f>
      </x:c>
    </x:row>
    <x:row r="52">
      <x:c r="A52" s="14"/>
      <x:c r="B52" s="11"/>
      <x:c r="C52" s="11"/>
      <x:c r="D52" s="2"/>
      <x:c r="E52" s="2"/>
      <x:c r="F52" s="9"/>
      <x:c r="G52" s="9"/>
      <x:c r="H52" s="12" t="str">
        <x:f t="shared" si="0">IF(OR(F52="",G52=""),"",IF(F52=0,"",G52/F52))</x:f>
      </x:c>
      <x:c r="I52" s="8" t="str">
        <x:f t="shared" si="2">IF(OR(F52="",G52=""),"",F52-G52)</x:f>
      </x:c>
      <x:c r="J52" s="12" t="str">
        <x:f t="shared" si="1">IF(E52="","",IFERROR((I52/LOOKUP(2,1/($E$5:E51=E52),$I$5:I51))-1,""))</x:f>
      </x:c>
      <x:c r="K52" t="str">
        <x:f>IF(E52="","",IFERROR(IF(B52&lt;&gt;LOOKUP(2,1/($E$5:E51=E52),$B$5:B51),"Ranking change",""),""))</x:f>
      </x:c>
    </x:row>
    <x:row r="53">
      <x:c r="A53" s="14"/>
      <x:c r="B53" s="11"/>
      <x:c r="C53" s="11"/>
      <x:c r="D53" s="2"/>
      <x:c r="E53" s="2"/>
      <x:c r="F53" s="9"/>
      <x:c r="G53" s="9"/>
      <x:c r="H53" s="12" t="str">
        <x:f t="shared" si="0">IF(OR(F53="",G53=""),"",IF(F53=0,"",G53/F53))</x:f>
      </x:c>
      <x:c r="I53" s="8" t="str">
        <x:f t="shared" si="2">IF(OR(F53="",G53=""),"",F53-G53)</x:f>
      </x:c>
      <x:c r="J53" s="12" t="str">
        <x:f t="shared" si="1">IF(E53="","",IFERROR((I53/LOOKUP(2,1/($E$5:E52=E53),$I$5:I52))-1,""))</x:f>
      </x:c>
      <x:c r="K53" t="str">
        <x:f>IF(E53="","",IFERROR(IF(B53&lt;&gt;LOOKUP(2,1/($E$5:E52=E53),$B$5:B52),"Ranking change",""),""))</x:f>
      </x:c>
    </x:row>
    <x:row r="54">
      <x:c r="A54" s="14"/>
      <x:c r="B54" s="11"/>
      <x:c r="C54" s="11"/>
      <x:c r="D54" s="2"/>
      <x:c r="E54" s="2"/>
      <x:c r="F54" s="9"/>
      <x:c r="G54" s="9"/>
      <x:c r="H54" s="12" t="str">
        <x:f t="shared" si="0">IF(OR(F54="",G54=""),"",IF(F54=0,"",G54/F54))</x:f>
      </x:c>
      <x:c r="I54" s="8" t="str">
        <x:f t="shared" si="2">IF(OR(F54="",G54=""),"",F54-G54)</x:f>
      </x:c>
      <x:c r="J54" s="12" t="str">
        <x:f t="shared" si="1">IF(E54="","",IFERROR((I54/LOOKUP(2,1/($E$5:E53=E54),$I$5:I53))-1,""))</x:f>
      </x:c>
      <x:c r="K54" t="str">
        <x:f>IF(E54="","",IFERROR(IF(B54&lt;&gt;LOOKUP(2,1/($E$5:E53=E54),$B$5:B53),"Ranking change",""),""))</x:f>
      </x:c>
    </x:row>
    <x:row r="55">
      <x:c r="A55" s="14"/>
      <x:c r="B55" s="11"/>
      <x:c r="C55" s="11"/>
      <x:c r="D55" s="2"/>
      <x:c r="E55" s="2"/>
      <x:c r="F55" s="9"/>
      <x:c r="G55" s="9"/>
      <x:c r="H55" s="12" t="str">
        <x:f t="shared" si="0">IF(OR(F55="",G55=""),"",IF(F55=0,"",G55/F55))</x:f>
      </x:c>
      <x:c r="I55" s="8" t="str">
        <x:f t="shared" si="2">IF(OR(F55="",G55=""),"",F55-G55)</x:f>
      </x:c>
      <x:c r="J55" s="12" t="str">
        <x:f t="shared" si="1">IF(E55="","",IFERROR((I55/LOOKUP(2,1/($E$5:E54=E55),$I$5:I54))-1,""))</x:f>
      </x:c>
      <x:c r="K55" t="str">
        <x:f>IF(E55="","",IFERROR(IF(B55&lt;&gt;LOOKUP(2,1/($E$5:E54=E55),$B$5:B54),"Ranking change",""),""))</x:f>
      </x:c>
    </x:row>
    <x:row r="56">
      <x:c r="A56" s="14"/>
      <x:c r="B56" s="11"/>
      <x:c r="C56" s="11"/>
      <x:c r="D56" s="2"/>
      <x:c r="E56" s="2"/>
      <x:c r="F56" s="9"/>
      <x:c r="G56" s="9"/>
      <x:c r="H56" s="12" t="str">
        <x:f t="shared" si="0">IF(OR(F56="",G56=""),"",IF(F56=0,"",G56/F56))</x:f>
      </x:c>
      <x:c r="I56" s="8" t="str">
        <x:f t="shared" si="2">IF(OR(F56="",G56=""),"",F56-G56)</x:f>
      </x:c>
      <x:c r="J56" s="12" t="str">
        <x:f t="shared" si="1">IF(E56="","",IFERROR((I56/LOOKUP(2,1/($E$5:E55=E56),$I$5:I55))-1,""))</x:f>
      </x:c>
      <x:c r="K56" t="str">
        <x:f>IF(E56="","",IFERROR(IF(B56&lt;&gt;LOOKUP(2,1/($E$5:E55=E56),$B$5:B55),"Ranking change",""),""))</x:f>
      </x:c>
    </x:row>
    <x:row r="57">
      <x:c r="A57" s="14"/>
      <x:c r="B57" s="11"/>
      <x:c r="C57" s="11"/>
      <x:c r="D57" s="2"/>
      <x:c r="E57" s="2"/>
      <x:c r="F57" s="9"/>
      <x:c r="G57" s="9"/>
      <x:c r="H57" s="12" t="str">
        <x:f t="shared" si="0">IF(OR(F57="",G57=""),"",IF(F57=0,"",G57/F57))</x:f>
      </x:c>
      <x:c r="I57" s="8" t="str">
        <x:f t="shared" si="2">IF(OR(F57="",G57=""),"",F57-G57)</x:f>
      </x:c>
      <x:c r="J57" s="12" t="str">
        <x:f t="shared" si="1">IF(E57="","",IFERROR((I57/LOOKUP(2,1/($E$5:E56=E57),$I$5:I56))-1,""))</x:f>
      </x:c>
      <x:c r="K57" t="str">
        <x:f>IF(E57="","",IFERROR(IF(B57&lt;&gt;LOOKUP(2,1/($E$5:E56=E57),$B$5:B56),"Ranking change",""),""))</x:f>
      </x:c>
    </x:row>
    <x:row r="58">
      <x:c r="A58" s="14"/>
      <x:c r="B58" s="11"/>
      <x:c r="C58" s="11"/>
      <x:c r="D58" s="2"/>
      <x:c r="E58" s="2"/>
      <x:c r="F58" s="9"/>
      <x:c r="G58" s="9"/>
      <x:c r="H58" s="12" t="str">
        <x:f t="shared" si="0">IF(OR(F58="",G58=""),"",IF(F58=0,"",G58/F58))</x:f>
      </x:c>
      <x:c r="I58" s="8" t="str">
        <x:f t="shared" si="2">IF(OR(F58="",G58=""),"",F58-G58)</x:f>
      </x:c>
      <x:c r="J58" s="12" t="str">
        <x:f t="shared" si="1">IF(E58="","",IFERROR((I58/LOOKUP(2,1/($E$5:E57=E58),$I$5:I57))-1,""))</x:f>
      </x:c>
      <x:c r="K58" t="str">
        <x:f>IF(E58="","",IFERROR(IF(B58&lt;&gt;LOOKUP(2,1/($E$5:E57=E58),$B$5:B57),"Ranking change",""),""))</x:f>
      </x:c>
    </x:row>
    <x:row r="59">
      <x:c r="A59" s="14"/>
      <x:c r="B59" s="11"/>
      <x:c r="C59" s="11"/>
      <x:c r="D59" s="2"/>
      <x:c r="E59" s="2"/>
      <x:c r="F59" s="9"/>
      <x:c r="G59" s="9"/>
      <x:c r="H59" s="12" t="str">
        <x:f t="shared" si="0">IF(OR(F59="",G59=""),"",IF(F59=0,"",G59/F59))</x:f>
      </x:c>
      <x:c r="I59" s="8" t="str">
        <x:f t="shared" si="2">IF(OR(F59="",G59=""),"",F59-G59)</x:f>
      </x:c>
      <x:c r="J59" s="12" t="str">
        <x:f t="shared" si="1">IF(E59="","",IFERROR((I59/LOOKUP(2,1/($E$5:E58=E59),$I$5:I58))-1,""))</x:f>
      </x:c>
      <x:c r="K59" t="str">
        <x:f>IF(E59="","",IFERROR(IF(B59&lt;&gt;LOOKUP(2,1/($E$5:E58=E59),$B$5:B58),"Ranking change",""),""))</x:f>
      </x:c>
    </x:row>
    <x:row r="60">
      <x:c r="H60" t="str">
        <x:f>IF(OR(F60="",G60=""),"",IF(F60=0,"",G60/F60))</x:f>
      </x:c>
      <x:c r="I60" t="str">
        <x:f>IF(OR(F60="",G60=""),"",F60-G60)</x:f>
      </x:c>
      <x:c r="J60" t="str">
        <x:f>IF(E60="","",IFERROR((I60/LOOKUP(2,1/($E$5:E59=E60),$I$5:I59))-1,""))</x:f>
      </x:c>
      <x:c r="K60" t="str">
        <x:f>IF(E60="","",IFERROR(IF(B60&lt;&gt;LOOKUP(2,1/($E$5:E59=E60),$B$5:B59),"Ranking change",""),""))</x:f>
      </x:c>
    </x:row>
    <x:row r="61">
      <x:c r="H61" t="str">
        <x:f>IF(OR(F61="",G61=""),"",IF(F61=0,"",G61/F61))</x:f>
      </x:c>
      <x:c r="I61" t="str">
        <x:f>IF(OR(F61="",G61=""),"",F61-G61)</x:f>
      </x:c>
      <x:c r="J61" t="str">
        <x:f>IF(E61="","",IFERROR((I61/LOOKUP(2,1/($E$5:E60=E61),$I$5:I60))-1,""))</x:f>
      </x:c>
      <x:c r="K61" t="str">
        <x:f>IF(E61="","",IFERROR(IF(B61&lt;&gt;LOOKUP(2,1/($E$5:E60=E61),$B$5:B60),"Ranking change",""),""))</x:f>
      </x:c>
    </x:row>
    <x:row r="62">
      <x:c r="H62" t="str">
        <x:f>IF(OR(F62="",G62=""),"",IF(F62=0,"",G62/F62))</x:f>
      </x:c>
      <x:c r="I62" t="str">
        <x:f>IF(OR(F62="",G62=""),"",F62-G62)</x:f>
      </x:c>
      <x:c r="J62" t="str">
        <x:f>IF(E62="","",IFERROR((I62/LOOKUP(2,1/($E$5:E61=E62),$I$5:I61))-1,""))</x:f>
      </x:c>
      <x:c r="K62" t="str">
        <x:f>IF(E62="","",IFERROR(IF(B62&lt;&gt;LOOKUP(2,1/($E$5:E61=E62),$B$5:B61),"Ranking change",""),""))</x:f>
      </x:c>
    </x:row>
    <x:row r="63">
      <x:c r="H63" t="str">
        <x:f>IF(OR(F63="",G63=""),"",IF(F63=0,"",G63/F63))</x:f>
      </x:c>
      <x:c r="I63" t="str">
        <x:f>IF(OR(F63="",G63=""),"",F63-G63)</x:f>
      </x:c>
      <x:c r="J63" t="str">
        <x:f>IF(E63="","",IFERROR((I63/LOOKUP(2,1/($E$5:E62=E63),$I$5:I62))-1,""))</x:f>
      </x:c>
      <x:c r="K63" t="str">
        <x:f>IF(E63="","",IFERROR(IF(B63&lt;&gt;LOOKUP(2,1/($E$5:E62=E63),$B$5:B62),"Ranking change",""),""))</x:f>
      </x:c>
    </x:row>
    <x:row r="64">
      <x:c r="H64" t="str">
        <x:f>IF(OR(F64="",G64=""),"",IF(F64=0,"",G64/F64))</x:f>
      </x:c>
      <x:c r="I64" t="str">
        <x:f>IF(OR(F64="",G64=""),"",F64-G64)</x:f>
      </x:c>
      <x:c r="J64" t="str">
        <x:f>IF(E64="","",IFERROR((I64/LOOKUP(2,1/($E$5:E63=E64),$I$5:I63))-1,""))</x:f>
      </x:c>
      <x:c r="K64" t="str">
        <x:f>IF(E64="","",IFERROR(IF(B64&lt;&gt;LOOKUP(2,1/($E$5:E63=E64),$B$5:B63),"Ranking change",""),""))</x:f>
      </x:c>
    </x:row>
    <x:row r="65">
      <x:c r="H65" t="str">
        <x:f>IF(OR(F65="",G65=""),"",IF(F65=0,"",G65/F65))</x:f>
      </x:c>
      <x:c r="I65" t="str">
        <x:f>IF(OR(F65="",G65=""),"",F65-G65)</x:f>
      </x:c>
      <x:c r="J65" t="str">
        <x:f>IF(E65="","",IFERROR((I65/LOOKUP(2,1/($E$5:E64=E65),$I$5:I64))-1,""))</x:f>
      </x:c>
      <x:c r="K65" t="str">
        <x:f>IF(E65="","",IFERROR(IF(B65&lt;&gt;LOOKUP(2,1/($E$5:E64=E65),$B$5:B64),"Ranking change",""),""))</x:f>
      </x:c>
    </x:row>
    <x:row r="66">
      <x:c r="H66" t="str">
        <x:f>IF(OR(F66="",G66=""),"",IF(F66=0,"",G66/F66))</x:f>
      </x:c>
      <x:c r="I66" t="str">
        <x:f>IF(OR(F66="",G66=""),"",F66-G66)</x:f>
      </x:c>
      <x:c r="J66" t="str">
        <x:f>IF(E66="","",IFERROR((I66/LOOKUP(2,1/($E$5:E65=E66),$I$5:I65))-1,""))</x:f>
      </x:c>
      <x:c r="K66" t="str">
        <x:f>IF(E66="","",IFERROR(IF(B66&lt;&gt;LOOKUP(2,1/($E$5:E65=E66),$B$5:B65),"Ranking change",""),""))</x:f>
      </x:c>
    </x:row>
    <x:row r="67">
      <x:c r="H67" t="str">
        <x:f>IF(OR(F67="",G67=""),"",IF(F67=0,"",G67/F67))</x:f>
      </x:c>
      <x:c r="I67" t="str">
        <x:f>IF(OR(F67="",G67=""),"",F67-G67)</x:f>
      </x:c>
      <x:c r="J67" t="str">
        <x:f>IF(E67="","",IFERROR((I67/LOOKUP(2,1/($E$5:E66=E67),$I$5:I66))-1,""))</x:f>
      </x:c>
      <x:c r="K67" t="str">
        <x:f>IF(E67="","",IFERROR(IF(B67&lt;&gt;LOOKUP(2,1/($E$5:E66=E67),$B$5:B66),"Ranking change",""),""))</x:f>
      </x:c>
    </x:row>
    <x:row r="68">
      <x:c r="H68" t="str">
        <x:f>IF(OR(F68="",G68=""),"",IF(F68=0,"",G68/F68))</x:f>
      </x:c>
      <x:c r="I68" t="str">
        <x:f>IF(OR(F68="",G68=""),"",F68-G68)</x:f>
      </x:c>
      <x:c r="J68" t="str">
        <x:f>IF(E68="","",IFERROR((I68/LOOKUP(2,1/($E$5:E67=E68),$I$5:I67))-1,""))</x:f>
      </x:c>
      <x:c r="K68" t="str">
        <x:f>IF(E68="","",IFERROR(IF(B68&lt;&gt;LOOKUP(2,1/($E$5:E67=E68),$B$5:B67),"Ranking change",""),""))</x:f>
      </x:c>
    </x:row>
    <x:row r="69">
      <x:c r="H69" t="str">
        <x:f>IF(OR(F69="",G69=""),"",IF(F69=0,"",G69/F69))</x:f>
      </x:c>
      <x:c r="I69" t="str">
        <x:f>IF(OR(F69="",G69=""),"",F69-G69)</x:f>
      </x:c>
      <x:c r="J69" t="str">
        <x:f>IF(E69="","",IFERROR((I69/LOOKUP(2,1/($E$5:E68=E69),$I$5:I68))-1,""))</x:f>
      </x:c>
      <x:c r="K69" t="str">
        <x:f>IF(E69="","",IFERROR(IF(B69&lt;&gt;LOOKUP(2,1/($E$5:E68=E69),$B$5:B68),"Ranking change",""),""))</x:f>
      </x:c>
    </x:row>
    <x:row r="70">
      <x:c r="H70" t="str">
        <x:f>IF(OR(F70="",G70=""),"",IF(F70=0,"",G70/F70))</x:f>
      </x:c>
      <x:c r="I70" t="str">
        <x:f>IF(OR(F70="",G70=""),"",F70-G70)</x:f>
      </x:c>
      <x:c r="J70" t="str">
        <x:f>IF(E70="","",IFERROR((I70/LOOKUP(2,1/($E$5:E69=E70),$I$5:I69))-1,""))</x:f>
      </x:c>
      <x:c r="K70" t="str">
        <x:f>IF(E70="","",IFERROR(IF(B70&lt;&gt;LOOKUP(2,1/($E$5:E69=E70),$B$5:B69),"Ranking change",""),""))</x:f>
      </x:c>
    </x:row>
    <x:row r="71">
      <x:c r="H71" t="str">
        <x:f>IF(OR(F71="",G71=""),"",IF(F71=0,"",G71/F71))</x:f>
      </x:c>
      <x:c r="I71" t="str">
        <x:f>IF(OR(F71="",G71=""),"",F71-G71)</x:f>
      </x:c>
      <x:c r="J71" t="str">
        <x:f>IF(E71="","",IFERROR((I71/LOOKUP(2,1/($E$5:E70=E71),$I$5:I70))-1,""))</x:f>
      </x:c>
      <x:c r="K71" t="str">
        <x:f>IF(E71="","",IFERROR(IF(B71&lt;&gt;LOOKUP(2,1/($E$5:E70=E71),$B$5:B70),"Ranking change",""),""))</x:f>
      </x:c>
    </x:row>
    <x:row r="72">
      <x:c r="H72" t="str">
        <x:f>IF(OR(F72="",G72=""),"",IF(F72=0,"",G72/F72))</x:f>
      </x:c>
      <x:c r="I72" t="str">
        <x:f>IF(OR(F72="",G72=""),"",F72-G72)</x:f>
      </x:c>
      <x:c r="J72" t="str">
        <x:f>IF(E72="","",IFERROR((I72/LOOKUP(2,1/($E$5:E71=E72),$I$5:I71))-1,""))</x:f>
      </x:c>
      <x:c r="K72" t="str">
        <x:f>IF(E72="","",IFERROR(IF(B72&lt;&gt;LOOKUP(2,1/($E$5:E71=E72),$B$5:B71),"Ranking change",""),""))</x:f>
      </x:c>
    </x:row>
    <x:row r="73">
      <x:c r="H73" t="str">
        <x:f>IF(OR(F73="",G73=""),"",IF(F73=0,"",G73/F73))</x:f>
      </x:c>
      <x:c r="I73" t="str">
        <x:f>IF(OR(F73="",G73=""),"",F73-G73)</x:f>
      </x:c>
      <x:c r="J73" t="str">
        <x:f>IF(E73="","",IFERROR((I73/LOOKUP(2,1/($E$5:E72=E73),$I$5:I72))-1,""))</x:f>
      </x:c>
      <x:c r="K73" t="str">
        <x:f>IF(E73="","",IFERROR(IF(B73&lt;&gt;LOOKUP(2,1/($E$5:E72=E73),$B$5:B72),"Ranking change",""),""))</x:f>
      </x:c>
    </x:row>
    <x:row r="74">
      <x:c r="H74" t="str">
        <x:f>IF(OR(F74="",G74=""),"",IF(F74=0,"",G74/F74))</x:f>
      </x:c>
      <x:c r="I74" t="str">
        <x:f>IF(OR(F74="",G74=""),"",F74-G74)</x:f>
      </x:c>
      <x:c r="J74" t="str">
        <x:f>IF(E74="","",IFERROR((I74/LOOKUP(2,1/($E$5:E73=E74),$I$5:I73))-1,""))</x:f>
      </x:c>
      <x:c r="K74" t="str">
        <x:f>IF(E74="","",IFERROR(IF(B74&lt;&gt;LOOKUP(2,1/($E$5:E73=E74),$B$5:B73),"Ranking change",""),""))</x:f>
      </x:c>
    </x:row>
    <x:row r="75">
      <x:c r="H75" t="str">
        <x:f>IF(OR(F75="",G75=""),"",IF(F75=0,"",G75/F75))</x:f>
      </x:c>
      <x:c r="I75" t="str">
        <x:f>IF(OR(F75="",G75=""),"",F75-G75)</x:f>
      </x:c>
      <x:c r="J75" t="str">
        <x:f>IF(E75="","",IFERROR((I75/LOOKUP(2,1/($E$5:E74=E75),$I$5:I74))-1,""))</x:f>
      </x:c>
      <x:c r="K75" t="str">
        <x:f>IF(E75="","",IFERROR(IF(B75&lt;&gt;LOOKUP(2,1/($E$5:E74=E75),$B$5:B74),"Ranking change",""),""))</x:f>
      </x:c>
    </x:row>
    <x:row r="76">
      <x:c r="H76" t="str">
        <x:f>IF(OR(F76="",G76=""),"",IF(F76=0,"",G76/F76))</x:f>
      </x:c>
      <x:c r="I76" t="str">
        <x:f>IF(OR(F76="",G76=""),"",F76-G76)</x:f>
      </x:c>
      <x:c r="J76" t="str">
        <x:f>IF(E76="","",IFERROR((I76/LOOKUP(2,1/($E$5:E75=E76),$I$5:I75))-1,""))</x:f>
      </x:c>
      <x:c r="K76" t="str">
        <x:f>IF(E76="","",IFERROR(IF(B76&lt;&gt;LOOKUP(2,1/($E$5:E75=E76),$B$5:B75),"Ranking change",""),""))</x:f>
      </x:c>
    </x:row>
    <x:row r="77">
      <x:c r="H77" t="str">
        <x:f>IF(OR(F77="",G77=""),"",IF(F77=0,"",G77/F77))</x:f>
      </x:c>
      <x:c r="I77" t="str">
        <x:f>IF(OR(F77="",G77=""),"",F77-G77)</x:f>
      </x:c>
      <x:c r="J77" t="str">
        <x:f>IF(E77="","",IFERROR((I77/LOOKUP(2,1/($E$5:E76=E77),$I$5:I76))-1,""))</x:f>
      </x:c>
      <x:c r="K77" t="str">
        <x:f>IF(E77="","",IFERROR(IF(B77&lt;&gt;LOOKUP(2,1/($E$5:E76=E77),$B$5:B76),"Ranking change",""),""))</x:f>
      </x:c>
    </x:row>
    <x:row r="78">
      <x:c r="H78" t="str">
        <x:f>IF(OR(F78="",G78=""),"",IF(F78=0,"",G78/F78))</x:f>
      </x:c>
      <x:c r="I78" t="str">
        <x:f>IF(OR(F78="",G78=""),"",F78-G78)</x:f>
      </x:c>
      <x:c r="J78" t="str">
        <x:f>IF(E78="","",IFERROR((I78/LOOKUP(2,1/($E$5:E77=E78),$I$5:I77))-1,""))</x:f>
      </x:c>
      <x:c r="K78" t="str">
        <x:f>IF(E78="","",IFERROR(IF(B78&lt;&gt;LOOKUP(2,1/($E$5:E77=E78),$B$5:B77),"Ranking change",""),""))</x:f>
      </x:c>
    </x:row>
    <x:row r="79">
      <x:c r="H79" t="str">
        <x:f>IF(OR(F79="",G79=""),"",IF(F79=0,"",G79/F79))</x:f>
      </x:c>
      <x:c r="I79" t="str">
        <x:f>IF(OR(F79="",G79=""),"",F79-G79)</x:f>
      </x:c>
      <x:c r="J79" t="str">
        <x:f>IF(E79="","",IFERROR((I79/LOOKUP(2,1/($E$5:E78=E79),$I$5:I78))-1,""))</x:f>
      </x:c>
      <x:c r="K79" t="str">
        <x:f>IF(E79="","",IFERROR(IF(B79&lt;&gt;LOOKUP(2,1/($E$5:E78=E79),$B$5:B78),"Ranking change",""),""))</x:f>
      </x:c>
    </x:row>
    <x:row r="80">
      <x:c r="H80" t="str">
        <x:f>IF(OR(F80="",G80=""),"",IF(F80=0,"",G80/F80))</x:f>
      </x:c>
      <x:c r="I80" t="str">
        <x:f>IF(OR(F80="",G80=""),"",F80-G80)</x:f>
      </x:c>
      <x:c r="J80" t="str">
        <x:f>IF(E80="","",IFERROR((I80/LOOKUP(2,1/($E$5:E79=E80),$I$5:I79))-1,""))</x:f>
      </x:c>
      <x:c r="K80" t="str">
        <x:f>IF(E80="","",IFERROR(IF(B80&lt;&gt;LOOKUP(2,1/($E$5:E79=E80),$B$5:B79),"Ranking change",""),""))</x:f>
      </x:c>
    </x:row>
    <x:row r="81">
      <x:c r="H81" t="str">
        <x:f>IF(OR(F81="",G81=""),"",IF(F81=0,"",G81/F81))</x:f>
      </x:c>
      <x:c r="I81" t="str">
        <x:f>IF(OR(F81="",G81=""),"",F81-G81)</x:f>
      </x:c>
      <x:c r="J81" t="str">
        <x:f>IF(E81="","",IFERROR((I81/LOOKUP(2,1/($E$5:E80=E81),$I$5:I80))-1,""))</x:f>
      </x:c>
      <x:c r="K81" t="str">
        <x:f>IF(E81="","",IFERROR(IF(B81&lt;&gt;LOOKUP(2,1/($E$5:E80=E81),$B$5:B80),"Ranking change",""),""))</x:f>
      </x:c>
    </x:row>
    <x:row r="82">
      <x:c r="H82" t="str">
        <x:f>IF(OR(F82="",G82=""),"",IF(F82=0,"",G82/F82))</x:f>
      </x:c>
      <x:c r="I82" t="str">
        <x:f>IF(OR(F82="",G82=""),"",F82-G82)</x:f>
      </x:c>
      <x:c r="J82" t="str">
        <x:f>IF(E82="","",IFERROR((I82/LOOKUP(2,1/($E$5:E81=E82),$I$5:I81))-1,""))</x:f>
      </x:c>
      <x:c r="K82" t="str">
        <x:f>IF(E82="","",IFERROR(IF(B82&lt;&gt;LOOKUP(2,1/($E$5:E81=E82),$B$5:B81),"Ranking change",""),""))</x:f>
      </x:c>
    </x:row>
    <x:row r="83">
      <x:c r="H83" t="str">
        <x:f>IF(OR(F83="",G83=""),"",IF(F83=0,"",G83/F83))</x:f>
      </x:c>
      <x:c r="I83" t="str">
        <x:f>IF(OR(F83="",G83=""),"",F83-G83)</x:f>
      </x:c>
      <x:c r="J83" t="str">
        <x:f>IF(E83="","",IFERROR((I83/LOOKUP(2,1/($E$5:E82=E83),$I$5:I82))-1,""))</x:f>
      </x:c>
      <x:c r="K83" t="str">
        <x:f>IF(E83="","",IFERROR(IF(B83&lt;&gt;LOOKUP(2,1/($E$5:E82=E83),$B$5:B82),"Ranking change",""),""))</x:f>
      </x:c>
    </x:row>
    <x:row r="84">
      <x:c r="H84" t="str">
        <x:f>IF(OR(F84="",G84=""),"",IF(F84=0,"",G84/F84))</x:f>
      </x:c>
      <x:c r="I84" t="str">
        <x:f>IF(OR(F84="",G84=""),"",F84-G84)</x:f>
      </x:c>
      <x:c r="J84" t="str">
        <x:f>IF(E84="","",IFERROR((I84/LOOKUP(2,1/($E$5:E83=E84),$I$5:I83))-1,""))</x:f>
      </x:c>
      <x:c r="K84" t="str">
        <x:f>IF(E84="","",IFERROR(IF(B84&lt;&gt;LOOKUP(2,1/($E$5:E83=E84),$B$5:B83),"Ranking change",""),""))</x:f>
      </x:c>
    </x:row>
    <x:row r="85">
      <x:c r="H85" t="str">
        <x:f>IF(OR(F85="",G85=""),"",IF(F85=0,"",G85/F85))</x:f>
      </x:c>
      <x:c r="I85" t="str">
        <x:f>IF(OR(F85="",G85=""),"",F85-G85)</x:f>
      </x:c>
      <x:c r="J85" t="str">
        <x:f>IF(E85="","",IFERROR((I85/LOOKUP(2,1/($E$5:E84=E85),$I$5:I84))-1,""))</x:f>
      </x:c>
      <x:c r="K85" t="str">
        <x:f>IF(E85="","",IFERROR(IF(B85&lt;&gt;LOOKUP(2,1/($E$5:E84=E85),$B$5:B84),"Ranking change",""),""))</x:f>
      </x:c>
    </x:row>
    <x:row r="86">
      <x:c r="H86" t="str">
        <x:f>IF(OR(F86="",G86=""),"",IF(F86=0,"",G86/F86))</x:f>
      </x:c>
      <x:c r="I86" t="str">
        <x:f>IF(OR(F86="",G86=""),"",F86-G86)</x:f>
      </x:c>
      <x:c r="J86" t="str">
        <x:f>IF(E86="","",IFERROR((I86/LOOKUP(2,1/($E$5:E85=E86),$I$5:I85))-1,""))</x:f>
      </x:c>
      <x:c r="K86" t="str">
        <x:f>IF(E86="","",IFERROR(IF(B86&lt;&gt;LOOKUP(2,1/($E$5:E85=E86),$B$5:B85),"Ranking change",""),""))</x:f>
      </x:c>
    </x:row>
    <x:row r="87">
      <x:c r="H87" t="str">
        <x:f>IF(OR(F87="",G87=""),"",IF(F87=0,"",G87/F87))</x:f>
      </x:c>
      <x:c r="I87" t="str">
        <x:f>IF(OR(F87="",G87=""),"",F87-G87)</x:f>
      </x:c>
      <x:c r="J87" t="str">
        <x:f>IF(E87="","",IFERROR((I87/LOOKUP(2,1/($E$5:E86=E87),$I$5:I86))-1,""))</x:f>
      </x:c>
      <x:c r="K87" t="str">
        <x:f>IF(E87="","",IFERROR(IF(B87&lt;&gt;LOOKUP(2,1/($E$5:E86=E87),$B$5:B86),"Ranking change",""),""))</x:f>
      </x:c>
    </x:row>
    <x:row r="88">
      <x:c r="H88" t="str">
        <x:f>IF(OR(F88="",G88=""),"",IF(F88=0,"",G88/F88))</x:f>
      </x:c>
      <x:c r="I88" t="str">
        <x:f>IF(OR(F88="",G88=""),"",F88-G88)</x:f>
      </x:c>
      <x:c r="J88" t="str">
        <x:f>IF(E88="","",IFERROR((I88/LOOKUP(2,1/($E$5:E87=E88),$I$5:I87))-1,""))</x:f>
      </x:c>
      <x:c r="K88" t="str">
        <x:f>IF(E88="","",IFERROR(IF(B88&lt;&gt;LOOKUP(2,1/($E$5:E87=E88),$B$5:B87),"Ranking change",""),""))</x:f>
      </x:c>
    </x:row>
    <x:row r="89">
      <x:c r="H89" t="str">
        <x:f>IF(OR(F89="",G89=""),"",IF(F89=0,"",G89/F89))</x:f>
      </x:c>
      <x:c r="I89" t="str">
        <x:f>IF(OR(F89="",G89=""),"",F89-G89)</x:f>
      </x:c>
      <x:c r="J89" t="str">
        <x:f>IF(E89="","",IFERROR((I89/LOOKUP(2,1/($E$5:E88=E89),$I$5:I88))-1,""))</x:f>
      </x:c>
      <x:c r="K89" t="str">
        <x:f>IF(E89="","",IFERROR(IF(B89&lt;&gt;LOOKUP(2,1/($E$5:E88=E89),$B$5:B88),"Ranking change",""),""))</x:f>
      </x:c>
    </x:row>
    <x:row r="90">
      <x:c r="H90" t="str">
        <x:f>IF(OR(F90="",G90=""),"",IF(F90=0,"",G90/F90))</x:f>
      </x:c>
      <x:c r="I90" t="str">
        <x:f>IF(OR(F90="",G90=""),"",F90-G90)</x:f>
      </x:c>
      <x:c r="J90" t="str">
        <x:f>IF(E90="","",IFERROR((I90/LOOKUP(2,1/($E$5:E89=E90),$I$5:I89))-1,""))</x:f>
      </x:c>
      <x:c r="K90" t="str">
        <x:f>IF(E90="","",IFERROR(IF(B90&lt;&gt;LOOKUP(2,1/($E$5:E89=E90),$B$5:B89),"Ranking change",""),""))</x:f>
      </x:c>
    </x:row>
    <x:row r="91">
      <x:c r="H91" t="str">
        <x:f>IF(OR(F91="",G91=""),"",IF(F91=0,"",G91/F91))</x:f>
      </x:c>
      <x:c r="I91" t="str">
        <x:f>IF(OR(F91="",G91=""),"",F91-G91)</x:f>
      </x:c>
      <x:c r="J91" t="str">
        <x:f>IF(E91="","",IFERROR((I91/LOOKUP(2,1/($E$5:E90=E91),$I$5:I90))-1,""))</x:f>
      </x:c>
      <x:c r="K91" t="str">
        <x:f>IF(E91="","",IFERROR(IF(B91&lt;&gt;LOOKUP(2,1/($E$5:E90=E91),$B$5:B90),"Ranking change",""),""))</x:f>
      </x:c>
    </x:row>
    <x:row r="92">
      <x:c r="H92" t="str">
        <x:f>IF(OR(F92="",G92=""),"",IF(F92=0,"",G92/F92))</x:f>
      </x:c>
      <x:c r="I92" t="str">
        <x:f>IF(OR(F92="",G92=""),"",F92-G92)</x:f>
      </x:c>
      <x:c r="J92" t="str">
        <x:f>IF(E92="","",IFERROR((I92/LOOKUP(2,1/($E$5:E91=E92),$I$5:I91))-1,""))</x:f>
      </x:c>
      <x:c r="K92" t="str">
        <x:f>IF(E92="","",IFERROR(IF(B92&lt;&gt;LOOKUP(2,1/($E$5:E91=E92),$B$5:B91),"Ranking change",""),""))</x:f>
      </x:c>
    </x:row>
    <x:row r="93">
      <x:c r="H93" t="str">
        <x:f>IF(OR(F93="",G93=""),"",IF(F93=0,"",G93/F93))</x:f>
      </x:c>
      <x:c r="I93" t="str">
        <x:f>IF(OR(F93="",G93=""),"",F93-G93)</x:f>
      </x:c>
      <x:c r="J93" t="str">
        <x:f>IF(E93="","",IFERROR((I93/LOOKUP(2,1/($E$5:E92=E93),$I$5:I92))-1,""))</x:f>
      </x:c>
      <x:c r="K93" t="str">
        <x:f>IF(E93="","",IFERROR(IF(B93&lt;&gt;LOOKUP(2,1/($E$5:E92=E93),$B$5:B92),"Ranking change",""),""))</x:f>
      </x:c>
    </x:row>
    <x:row r="94">
      <x:c r="H94" t="str">
        <x:f>IF(OR(F94="",G94=""),"",IF(F94=0,"",G94/F94))</x:f>
      </x:c>
      <x:c r="I94" t="str">
        <x:f>IF(OR(F94="",G94=""),"",F94-G94)</x:f>
      </x:c>
      <x:c r="J94" t="str">
        <x:f>IF(E94="","",IFERROR((I94/LOOKUP(2,1/($E$5:E93=E94),$I$5:I93))-1,""))</x:f>
      </x:c>
      <x:c r="K94" t="str">
        <x:f>IF(E94="","",IFERROR(IF(B94&lt;&gt;LOOKUP(2,1/($E$5:E93=E94),$B$5:B93),"Ranking change",""),""))</x:f>
      </x:c>
    </x:row>
    <x:row r="95">
      <x:c r="H95" t="str">
        <x:f>IF(OR(F95="",G95=""),"",IF(F95=0,"",G95/F95))</x:f>
      </x:c>
      <x:c r="I95" t="str">
        <x:f>IF(OR(F95="",G95=""),"",F95-G95)</x:f>
      </x:c>
      <x:c r="J95" t="str">
        <x:f>IF(E95="","",IFERROR((I95/LOOKUP(2,1/($E$5:E94=E95),$I$5:I94))-1,""))</x:f>
      </x:c>
      <x:c r="K95" t="str">
        <x:f>IF(E95="","",IFERROR(IF(B95&lt;&gt;LOOKUP(2,1/($E$5:E94=E95),$B$5:B94),"Ranking change",""),""))</x:f>
      </x:c>
    </x:row>
    <x:row r="96">
      <x:c r="H96" t="str">
        <x:f>IF(OR(F96="",G96=""),"",IF(F96=0,"",G96/F96))</x:f>
      </x:c>
      <x:c r="I96" t="str">
        <x:f>IF(OR(F96="",G96=""),"",F96-G96)</x:f>
      </x:c>
      <x:c r="J96" t="str">
        <x:f>IF(E96="","",IFERROR((I96/LOOKUP(2,1/($E$5:E95=E96),$I$5:I95))-1,""))</x:f>
      </x:c>
      <x:c r="K96" t="str">
        <x:f>IF(E96="","",IFERROR(IF(B96&lt;&gt;LOOKUP(2,1/($E$5:E95=E96),$B$5:B95),"Ranking change",""),""))</x:f>
      </x:c>
    </x:row>
    <x:row r="97">
      <x:c r="H97" t="str">
        <x:f>IF(OR(F97="",G97=""),"",IF(F97=0,"",G97/F97))</x:f>
      </x:c>
      <x:c r="I97" t="str">
        <x:f>IF(OR(F97="",G97=""),"",F97-G97)</x:f>
      </x:c>
      <x:c r="J97" t="str">
        <x:f>IF(E97="","",IFERROR((I97/LOOKUP(2,1/($E$5:E96=E97),$I$5:I96))-1,""))</x:f>
      </x:c>
      <x:c r="K97" t="str">
        <x:f>IF(E97="","",IFERROR(IF(B97&lt;&gt;LOOKUP(2,1/($E$5:E96=E97),$B$5:B96),"Ranking change",""),""))</x:f>
      </x:c>
    </x:row>
    <x:row r="98">
      <x:c r="H98" t="str">
        <x:f>IF(OR(F98="",G98=""),"",IF(F98=0,"",G98/F98))</x:f>
      </x:c>
      <x:c r="I98" t="str">
        <x:f>IF(OR(F98="",G98=""),"",F98-G98)</x:f>
      </x:c>
      <x:c r="J98" t="str">
        <x:f>IF(E98="","",IFERROR((I98/LOOKUP(2,1/($E$5:E97=E98),$I$5:I97))-1,""))</x:f>
      </x:c>
      <x:c r="K98" t="str">
        <x:f>IF(E98="","",IFERROR(IF(B98&lt;&gt;LOOKUP(2,1/($E$5:E97=E98),$B$5:B97),"Ranking change",""),""))</x:f>
      </x:c>
    </x:row>
    <x:row r="99">
      <x:c r="H99" t="str">
        <x:f>IF(OR(F99="",G99=""),"",IF(F99=0,"",G99/F99))</x:f>
      </x:c>
      <x:c r="I99" t="str">
        <x:f>IF(OR(F99="",G99=""),"",F99-G99)</x:f>
      </x:c>
      <x:c r="J99" t="str">
        <x:f>IF(E99="","",IFERROR((I99/LOOKUP(2,1/($E$5:E98=E99),$I$5:I98))-1,""))</x:f>
      </x:c>
      <x:c r="K99" t="str">
        <x:f>IF(E99="","",IFERROR(IF(B99&lt;&gt;LOOKUP(2,1/($E$5:E98=E99),$B$5:B98),"Ranking change",""),""))</x:f>
      </x:c>
    </x:row>
    <x:row r="100">
      <x:c r="H100" t="str">
        <x:f>IF(OR(F100="",G100=""),"",IF(F100=0,"",G100/F100))</x:f>
      </x:c>
      <x:c r="I100" t="str">
        <x:f>IF(OR(F100="",G100=""),"",F100-G100)</x:f>
      </x:c>
      <x:c r="J100" t="str">
        <x:f>IF(E100="","",IFERROR((I100/LOOKUP(2,1/($E$5:E99=E100),$I$5:I99))-1,""))</x:f>
      </x:c>
      <x:c r="K100" t="str">
        <x:f>IF(E100="","",IFERROR(IF(B100&lt;&gt;LOOKUP(2,1/($E$5:E99=E100),$B$5:B99),"Ranking change",""),""))</x:f>
      </x:c>
    </x:row>
    <x:row r="101">
      <x:c r="H101" t="str">
        <x:f>IF(OR(F101="",G101=""),"",IF(F101=0,"",G101/F101))</x:f>
      </x:c>
      <x:c r="I101" t="str">
        <x:f>IF(OR(F101="",G101=""),"",F101-G101)</x:f>
      </x:c>
      <x:c r="J101" t="str">
        <x:f>IF(E101="","",IFERROR((I101/LOOKUP(2,1/($E$5:E100=E101),$I$5:I100))-1,""))</x:f>
      </x:c>
      <x:c r="K101" t="str">
        <x:f>IF(E101="","",IFERROR(IF(B101&lt;&gt;LOOKUP(2,1/($E$5:E100=E101),$B$5:B100),"Ranking change",""),""))</x:f>
      </x:c>
    </x:row>
    <x:row r="102">
      <x:c r="H102" t="str">
        <x:f>IF(OR(F102="",G102=""),"",IF(F102=0,"",G102/F102))</x:f>
      </x:c>
      <x:c r="I102" t="str">
        <x:f>IF(OR(F102="",G102=""),"",F102-G102)</x:f>
      </x:c>
      <x:c r="J102" t="str">
        <x:f>IF(E102="","",IFERROR((I102/LOOKUP(2,1/($E$5:E101=E102),$I$5:I101))-1,""))</x:f>
      </x:c>
      <x:c r="K102" t="str">
        <x:f>IF(E102="","",IFERROR(IF(B102&lt;&gt;LOOKUP(2,1/($E$5:E101=E102),$B$5:B101),"Ranking change",""),""))</x:f>
      </x:c>
    </x:row>
    <x:row r="103">
      <x:c r="H103" t="str">
        <x:f>IF(OR(F103="",G103=""),"",IF(F103=0,"",G103/F103))</x:f>
      </x:c>
      <x:c r="I103" t="str">
        <x:f>IF(OR(F103="",G103=""),"",F103-G103)</x:f>
      </x:c>
      <x:c r="J103" t="str">
        <x:f>IF(E103="","",IFERROR((I103/LOOKUP(2,1/($E$5:E102=E103),$I$5:I102))-1,""))</x:f>
      </x:c>
      <x:c r="K103" t="str">
        <x:f>IF(E103="","",IFERROR(IF(B103&lt;&gt;LOOKUP(2,1/($E$5:E102=E103),$B$5:B102),"Ranking change",""),""))</x:f>
      </x:c>
    </x:row>
    <x:row r="104">
      <x:c r="H104" t="str">
        <x:f>IF(OR(F104="",G104=""),"",IF(F104=0,"",G104/F104))</x:f>
      </x:c>
      <x:c r="I104" t="str">
        <x:f>IF(OR(F104="",G104=""),"",F104-G104)</x:f>
      </x:c>
      <x:c r="J104" t="str">
        <x:f>IF(E104="","",IFERROR((I104/LOOKUP(2,1/($E$5:E103=E104),$I$5:I103))-1,""))</x:f>
      </x:c>
      <x:c r="K104" t="str">
        <x:f>IF(E104="","",IFERROR(IF(B104&lt;&gt;LOOKUP(2,1/($E$5:E103=E104),$B$5:B103),"Ranking change",""),""))</x:f>
      </x:c>
    </x:row>
    <x:row r="105">
      <x:c r="H105" t="str">
        <x:f>IF(OR(F105="",G105=""),"",IF(F105=0,"",G105/F105))</x:f>
      </x:c>
      <x:c r="I105" t="str">
        <x:f>IF(OR(F105="",G105=""),"",F105-G105)</x:f>
      </x:c>
      <x:c r="J105" t="str">
        <x:f>IF(E105="","",IFERROR((I105/LOOKUP(2,1/($E$5:E104=E105),$I$5:I104))-1,""))</x:f>
      </x:c>
      <x:c r="K105" t="str">
        <x:f>IF(E105="","",IFERROR(IF(B105&lt;&gt;LOOKUP(2,1/($E$5:E104=E105),$B$5:B104),"Ranking change",""),""))</x:f>
      </x:c>
    </x:row>
    <x:row r="106">
      <x:c r="H106" t="str">
        <x:f>IF(OR(F106="",G106=""),"",IF(F106=0,"",G106/F106))</x:f>
      </x:c>
      <x:c r="I106" t="str">
        <x:f>IF(OR(F106="",G106=""),"",F106-G106)</x:f>
      </x:c>
      <x:c r="J106" t="str">
        <x:f>IF(E106="","",IFERROR((I106/LOOKUP(2,1/($E$5:E105=E106),$I$5:I105))-1,""))</x:f>
      </x:c>
      <x:c r="K106" t="str">
        <x:f>IF(E106="","",IFERROR(IF(B106&lt;&gt;LOOKUP(2,1/($E$5:E105=E106),$B$5:B105),"Ranking change",""),""))</x:f>
      </x:c>
    </x:row>
    <x:row r="107">
      <x:c r="H107" t="str">
        <x:f>IF(OR(F107="",G107=""),"",IF(F107=0,"",G107/F107))</x:f>
      </x:c>
      <x:c r="I107" t="str">
        <x:f>IF(OR(F107="",G107=""),"",F107-G107)</x:f>
      </x:c>
      <x:c r="J107" t="str">
        <x:f>IF(E107="","",IFERROR((I107/LOOKUP(2,1/($E$5:E106=E107),$I$5:I106))-1,""))</x:f>
      </x:c>
      <x:c r="K107" t="str">
        <x:f>IF(E107="","",IFERROR(IF(B107&lt;&gt;LOOKUP(2,1/($E$5:E106=E107),$B$5:B106),"Ranking change",""),""))</x:f>
      </x:c>
    </x:row>
    <x:row r="108">
      <x:c r="H108" t="str">
        <x:f>IF(OR(F108="",G108=""),"",IF(F108=0,"",G108/F108))</x:f>
      </x:c>
      <x:c r="I108" t="str">
        <x:f>IF(OR(F108="",G108=""),"",F108-G108)</x:f>
      </x:c>
      <x:c r="J108" t="str">
        <x:f>IF(E108="","",IFERROR((I108/LOOKUP(2,1/($E$5:E107=E108),$I$5:I107))-1,""))</x:f>
      </x:c>
      <x:c r="K108" t="str">
        <x:f>IF(E108="","",IFERROR(IF(B108&lt;&gt;LOOKUP(2,1/($E$5:E107=E108),$B$5:B107),"Ranking change",""),""))</x:f>
      </x:c>
    </x:row>
    <x:row r="109">
      <x:c r="H109" t="str">
        <x:f>IF(OR(F109="",G109=""),"",IF(F109=0,"",G109/F109))</x:f>
      </x:c>
      <x:c r="I109" t="str">
        <x:f>IF(OR(F109="",G109=""),"",F109-G109)</x:f>
      </x:c>
      <x:c r="J109" t="str">
        <x:f>IF(E109="","",IFERROR((I109/LOOKUP(2,1/($E$5:E108=E109),$I$5:I108))-1,""))</x:f>
      </x:c>
      <x:c r="K109" t="str">
        <x:f>IF(E109="","",IFERROR(IF(B109&lt;&gt;LOOKUP(2,1/($E$5:E108=E109),$B$5:B108),"Ranking change",""),""))</x:f>
      </x:c>
    </x:row>
    <x:row r="110">
      <x:c r="H110" t="str">
        <x:f>IF(OR(F110="",G110=""),"",IF(F110=0,"",G110/F110))</x:f>
      </x:c>
      <x:c r="I110" t="str">
        <x:f>IF(OR(F110="",G110=""),"",F110-G110)</x:f>
      </x:c>
      <x:c r="J110" t="str">
        <x:f>IF(E110="","",IFERROR((I110/LOOKUP(2,1/($E$5:E109=E110),$I$5:I109))-1,""))</x:f>
      </x:c>
      <x:c r="K110" t="str">
        <x:f>IF(E110="","",IFERROR(IF(B110&lt;&gt;LOOKUP(2,1/($E$5:E109=E110),$B$5:B109),"Ranking change",""),""))</x:f>
      </x:c>
    </x:row>
    <x:row r="111">
      <x:c r="H111" t="str">
        <x:f>IF(OR(F111="",G111=""),"",IF(F111=0,"",G111/F111))</x:f>
      </x:c>
      <x:c r="I111" t="str">
        <x:f>IF(OR(F111="",G111=""),"",F111-G111)</x:f>
      </x:c>
      <x:c r="J111" t="str">
        <x:f>IF(E111="","",IFERROR((I111/LOOKUP(2,1/($E$5:E110=E111),$I$5:I110))-1,""))</x:f>
      </x:c>
      <x:c r="K111" t="str">
        <x:f>IF(E111="","",IFERROR(IF(B111&lt;&gt;LOOKUP(2,1/($E$5:E110=E111),$B$5:B110),"Ranking change",""),""))</x:f>
      </x:c>
    </x:row>
    <x:row r="112">
      <x:c r="H112" t="str">
        <x:f>IF(OR(F112="",G112=""),"",IF(F112=0,"",G112/F112))</x:f>
      </x:c>
      <x:c r="I112" t="str">
        <x:f>IF(OR(F112="",G112=""),"",F112-G112)</x:f>
      </x:c>
      <x:c r="J112" t="str">
        <x:f>IF(E112="","",IFERROR((I112/LOOKUP(2,1/($E$5:E111=E112),$I$5:I111))-1,""))</x:f>
      </x:c>
      <x:c r="K112" t="str">
        <x:f>IF(E112="","",IFERROR(IF(B112&lt;&gt;LOOKUP(2,1/($E$5:E111=E112),$B$5:B111),"Ranking change",""),""))</x:f>
      </x:c>
    </x:row>
    <x:row r="113">
      <x:c r="H113" t="str">
        <x:f>IF(OR(F113="",G113=""),"",IF(F113=0,"",G113/F113))</x:f>
      </x:c>
      <x:c r="I113" t="str">
        <x:f>IF(OR(F113="",G113=""),"",F113-G113)</x:f>
      </x:c>
      <x:c r="J113" t="str">
        <x:f>IF(E113="","",IFERROR((I113/LOOKUP(2,1/($E$5:E112=E113),$I$5:I112))-1,""))</x:f>
      </x:c>
      <x:c r="K113" t="str">
        <x:f>IF(E113="","",IFERROR(IF(B113&lt;&gt;LOOKUP(2,1/($E$5:E112=E113),$B$5:B112),"Ranking change",""),""))</x:f>
      </x:c>
    </x:row>
    <x:row r="114">
      <x:c r="H114" t="str">
        <x:f>IF(OR(F114="",G114=""),"",IF(F114=0,"",G114/F114))</x:f>
      </x:c>
      <x:c r="I114" t="str">
        <x:f>IF(OR(F114="",G114=""),"",F114-G114)</x:f>
      </x:c>
      <x:c r="J114" t="str">
        <x:f>IF(E114="","",IFERROR((I114/LOOKUP(2,1/($E$5:E113=E114),$I$5:I113))-1,""))</x:f>
      </x:c>
      <x:c r="K114" t="str">
        <x:f>IF(E114="","",IFERROR(IF(B114&lt;&gt;LOOKUP(2,1/($E$5:E113=E114),$B$5:B113),"Ranking change",""),""))</x:f>
      </x:c>
    </x:row>
    <x:row r="115">
      <x:c r="H115" t="str">
        <x:f>IF(OR(F115="",G115=""),"",IF(F115=0,"",G115/F115))</x:f>
      </x:c>
      <x:c r="I115" t="str">
        <x:f>IF(OR(F115="",G115=""),"",F115-G115)</x:f>
      </x:c>
      <x:c r="J115" t="str">
        <x:f>IF(E115="","",IFERROR((I115/LOOKUP(2,1/($E$5:E114=E115),$I$5:I114))-1,""))</x:f>
      </x:c>
      <x:c r="K115" t="str">
        <x:f>IF(E115="","",IFERROR(IF(B115&lt;&gt;LOOKUP(2,1/($E$5:E114=E115),$B$5:B114),"Ranking change",""),""))</x:f>
      </x:c>
    </x:row>
    <x:row r="116">
      <x:c r="H116" t="str">
        <x:f>IF(OR(F116="",G116=""),"",IF(F116=0,"",G116/F116))</x:f>
      </x:c>
      <x:c r="I116" t="str">
        <x:f>IF(OR(F116="",G116=""),"",F116-G116)</x:f>
      </x:c>
      <x:c r="J116" t="str">
        <x:f>IF(E116="","",IFERROR((I116/LOOKUP(2,1/($E$5:E115=E116),$I$5:I115))-1,""))</x:f>
      </x:c>
      <x:c r="K116" t="str">
        <x:f>IF(E116="","",IFERROR(IF(B116&lt;&gt;LOOKUP(2,1/($E$5:E115=E116),$B$5:B115),"Ranking change",""),""))</x:f>
      </x:c>
    </x:row>
    <x:row r="117">
      <x:c r="H117" t="str">
        <x:f>IF(OR(F117="",G117=""),"",IF(F117=0,"",G117/F117))</x:f>
      </x:c>
      <x:c r="I117" t="str">
        <x:f>IF(OR(F117="",G117=""),"",F117-G117)</x:f>
      </x:c>
      <x:c r="J117" t="str">
        <x:f>IF(E117="","",IFERROR((I117/LOOKUP(2,1/($E$5:E116=E117),$I$5:I116))-1,""))</x:f>
      </x:c>
      <x:c r="K117" t="str">
        <x:f>IF(E117="","",IFERROR(IF(B117&lt;&gt;LOOKUP(2,1/($E$5:E116=E117),$B$5:B116),"Ranking change",""),""))</x:f>
      </x:c>
    </x:row>
    <x:row r="118">
      <x:c r="H118" t="str">
        <x:f>IF(OR(F118="",G118=""),"",IF(F118=0,"",G118/F118))</x:f>
      </x:c>
      <x:c r="I118" t="str">
        <x:f>IF(OR(F118="",G118=""),"",F118-G118)</x:f>
      </x:c>
      <x:c r="J118" t="str">
        <x:f>IF(E118="","",IFERROR((I118/LOOKUP(2,1/($E$5:E117=E118),$I$5:I117))-1,""))</x:f>
      </x:c>
      <x:c r="K118" t="str">
        <x:f>IF(E118="","",IFERROR(IF(B118&lt;&gt;LOOKUP(2,1/($E$5:E117=E118),$B$5:B117),"Ranking change",""),""))</x:f>
      </x:c>
    </x:row>
    <x:row r="119">
      <x:c r="H119" t="str">
        <x:f>IF(OR(F119="",G119=""),"",IF(F119=0,"",G119/F119))</x:f>
      </x:c>
      <x:c r="I119" t="str">
        <x:f>IF(OR(F119="",G119=""),"",F119-G119)</x:f>
      </x:c>
      <x:c r="J119" t="str">
        <x:f>IF(E119="","",IFERROR((I119/LOOKUP(2,1/($E$5:E118=E119),$I$5:I118))-1,""))</x:f>
      </x:c>
      <x:c r="K119" t="str">
        <x:f>IF(E119="","",IFERROR(IF(B119&lt;&gt;LOOKUP(2,1/($E$5:E118=E119),$B$5:B118),"Ranking change",""),""))</x:f>
      </x:c>
    </x:row>
    <x:row r="120">
      <x:c r="H120" t="str">
        <x:f>IF(OR(F120="",G120=""),"",IF(F120=0,"",G120/F120))</x:f>
      </x:c>
      <x:c r="I120" t="str">
        <x:f>IF(OR(F120="",G120=""),"",F120-G120)</x:f>
      </x:c>
      <x:c r="J120" t="str">
        <x:f>IF(E120="","",IFERROR((I120/LOOKUP(2,1/($E$5:E119=E120),$I$5:I119))-1,""))</x:f>
      </x:c>
      <x:c r="K120" t="str">
        <x:f>IF(E120="","",IFERROR(IF(B120&lt;&gt;LOOKUP(2,1/($E$5:E119=E120),$B$5:B119),"Ranking change",""),""))</x:f>
      </x:c>
    </x:row>
    <x:row r="121">
      <x:c r="H121" t="str">
        <x:f>IF(OR(F121="",G121=""),"",IF(F121=0,"",G121/F121))</x:f>
      </x:c>
      <x:c r="I121" t="str">
        <x:f>IF(OR(F121="",G121=""),"",F121-G121)</x:f>
      </x:c>
      <x:c r="J121" t="str">
        <x:f>IF(E121="","",IFERROR((I121/LOOKUP(2,1/($E$5:E120=E121),$I$5:I120))-1,""))</x:f>
      </x:c>
      <x:c r="K121" t="str">
        <x:f>IF(E121="","",IFERROR(IF(B121&lt;&gt;LOOKUP(2,1/($E$5:E120=E121),$B$5:B120),"Ranking change",""),""))</x:f>
      </x:c>
    </x:row>
    <x:row r="122">
      <x:c r="H122" t="str">
        <x:f>IF(OR(F122="",G122=""),"",IF(F122=0,"",G122/F122))</x:f>
      </x:c>
      <x:c r="I122" t="str">
        <x:f>IF(OR(F122="",G122=""),"",F122-G122)</x:f>
      </x:c>
      <x:c r="J122" t="str">
        <x:f>IF(E122="","",IFERROR((I122/LOOKUP(2,1/($E$5:E121=E122),$I$5:I121))-1,""))</x:f>
      </x:c>
      <x:c r="K122" t="str">
        <x:f>IF(E122="","",IFERROR(IF(B122&lt;&gt;LOOKUP(2,1/($E$5:E121=E122),$B$5:B121),"Ranking change",""),""))</x:f>
      </x:c>
    </x:row>
    <x:row r="123">
      <x:c r="H123" t="str">
        <x:f>IF(OR(F123="",G123=""),"",IF(F123=0,"",G123/F123))</x:f>
      </x:c>
      <x:c r="I123" t="str">
        <x:f>IF(OR(F123="",G123=""),"",F123-G123)</x:f>
      </x:c>
      <x:c r="J123" t="str">
        <x:f>IF(E123="","",IFERROR((I123/LOOKUP(2,1/($E$5:E122=E123),$I$5:I122))-1,""))</x:f>
      </x:c>
      <x:c r="K123" t="str">
        <x:f>IF(E123="","",IFERROR(IF(B123&lt;&gt;LOOKUP(2,1/($E$5:E122=E123),$B$5:B122),"Ranking change",""),""))</x:f>
      </x:c>
    </x:row>
    <x:row r="124">
      <x:c r="H124" t="str">
        <x:f>IF(OR(F124="",G124=""),"",IF(F124=0,"",G124/F124))</x:f>
      </x:c>
      <x:c r="I124" t="str">
        <x:f>IF(OR(F124="",G124=""),"",F124-G124)</x:f>
      </x:c>
      <x:c r="J124" t="str">
        <x:f>IF(E124="","",IFERROR((I124/LOOKUP(2,1/($E$5:E123=E124),$I$5:I123))-1,""))</x:f>
      </x:c>
      <x:c r="K124" t="str">
        <x:f>IF(E124="","",IFERROR(IF(B124&lt;&gt;LOOKUP(2,1/($E$5:E123=E124),$B$5:B123),"Ranking change",""),""))</x:f>
      </x:c>
    </x:row>
    <x:row r="125">
      <x:c r="H125" t="str">
        <x:f>IF(OR(F125="",G125=""),"",IF(F125=0,"",G125/F125))</x:f>
      </x:c>
      <x:c r="I125" t="str">
        <x:f>IF(OR(F125="",G125=""),"",F125-G125)</x:f>
      </x:c>
      <x:c r="J125" t="str">
        <x:f>IF(E125="","",IFERROR((I125/LOOKUP(2,1/($E$5:E124=E125),$I$5:I124))-1,""))</x:f>
      </x:c>
      <x:c r="K125" t="str">
        <x:f>IF(E125="","",IFERROR(IF(B125&lt;&gt;LOOKUP(2,1/($E$5:E124=E125),$B$5:B124),"Ranking change",""),""))</x:f>
      </x:c>
    </x:row>
    <x:row r="126">
      <x:c r="H126" t="str">
        <x:f>IF(OR(F126="",G126=""),"",IF(F126=0,"",G126/F126))</x:f>
      </x:c>
      <x:c r="I126" t="str">
        <x:f>IF(OR(F126="",G126=""),"",F126-G126)</x:f>
      </x:c>
      <x:c r="J126" t="str">
        <x:f>IF(E126="","",IFERROR((I126/LOOKUP(2,1/($E$5:E125=E126),$I$5:I125))-1,""))</x:f>
      </x:c>
      <x:c r="K126" t="str">
        <x:f>IF(E126="","",IFERROR(IF(B126&lt;&gt;LOOKUP(2,1/($E$5:E125=E126),$B$5:B125),"Ranking change",""),""))</x:f>
      </x:c>
    </x:row>
    <x:row r="127">
      <x:c r="H127" t="str">
        <x:f>IF(OR(F127="",G127=""),"",IF(F127=0,"",G127/F127))</x:f>
      </x:c>
      <x:c r="I127" t="str">
        <x:f>IF(OR(F127="",G127=""),"",F127-G127)</x:f>
      </x:c>
      <x:c r="J127" t="str">
        <x:f>IF(E127="","",IFERROR((I127/LOOKUP(2,1/($E$5:E126=E127),$I$5:I126))-1,""))</x:f>
      </x:c>
      <x:c r="K127" t="str">
        <x:f>IF(E127="","",IFERROR(IF(B127&lt;&gt;LOOKUP(2,1/($E$5:E126=E127),$B$5:B126),"Ranking change",""),""))</x:f>
      </x:c>
    </x:row>
    <x:row r="128">
      <x:c r="H128" t="str">
        <x:f>IF(OR(F128="",G128=""),"",IF(F128=0,"",G128/F128))</x:f>
      </x:c>
      <x:c r="I128" t="str">
        <x:f>IF(OR(F128="",G128=""),"",F128-G128)</x:f>
      </x:c>
      <x:c r="J128" t="str">
        <x:f>IF(E128="","",IFERROR((I128/LOOKUP(2,1/($E$5:E127=E128),$I$5:I127))-1,""))</x:f>
      </x:c>
      <x:c r="K128" t="str">
        <x:f>IF(E128="","",IFERROR(IF(B128&lt;&gt;LOOKUP(2,1/($E$5:E127=E128),$B$5:B127),"Ranking change",""),""))</x:f>
      </x:c>
    </x:row>
    <x:row r="129">
      <x:c r="H129" t="str">
        <x:f>IF(OR(F129="",G129=""),"",IF(F129=0,"",G129/F129))</x:f>
      </x:c>
      <x:c r="I129" t="str">
        <x:f>IF(OR(F129="",G129=""),"",F129-G129)</x:f>
      </x:c>
      <x:c r="J129" t="str">
        <x:f>IF(E129="","",IFERROR((I129/LOOKUP(2,1/($E$5:E128=E129),$I$5:I128))-1,""))</x:f>
      </x:c>
      <x:c r="K129" t="str">
        <x:f>IF(E129="","",IFERROR(IF(B129&lt;&gt;LOOKUP(2,1/($E$5:E128=E129),$B$5:B128),"Ranking change",""),""))</x:f>
      </x:c>
    </x:row>
    <x:row r="130">
      <x:c r="H130" t="str">
        <x:f>IF(OR(F130="",G130=""),"",IF(F130=0,"",G130/F130))</x:f>
      </x:c>
      <x:c r="I130" t="str">
        <x:f>IF(OR(F130="",G130=""),"",F130-G130)</x:f>
      </x:c>
      <x:c r="J130" t="str">
        <x:f>IF(E130="","",IFERROR((I130/LOOKUP(2,1/($E$5:E129=E130),$I$5:I129))-1,""))</x:f>
      </x:c>
      <x:c r="K130" t="str">
        <x:f>IF(E130="","",IFERROR(IF(B130&lt;&gt;LOOKUP(2,1/($E$5:E129=E130),$B$5:B129),"Ranking change",""),""))</x:f>
      </x:c>
    </x:row>
    <x:row r="131">
      <x:c r="H131" t="str">
        <x:f>IF(OR(F131="",G131=""),"",IF(F131=0,"",G131/F131))</x:f>
      </x:c>
      <x:c r="I131" t="str">
        <x:f>IF(OR(F131="",G131=""),"",F131-G131)</x:f>
      </x:c>
      <x:c r="J131" t="str">
        <x:f>IF(E131="","",IFERROR((I131/LOOKUP(2,1/($E$5:E130=E131),$I$5:I130))-1,""))</x:f>
      </x:c>
      <x:c r="K131" t="str">
        <x:f>IF(E131="","",IFERROR(IF(B131&lt;&gt;LOOKUP(2,1/($E$5:E130=E131),$B$5:B130),"Ranking change",""),""))</x:f>
      </x:c>
    </x:row>
    <x:row r="132">
      <x:c r="H132" t="str">
        <x:f>IF(OR(F132="",G132=""),"",IF(F132=0,"",G132/F132))</x:f>
      </x:c>
      <x:c r="I132" t="str">
        <x:f>IF(OR(F132="",G132=""),"",F132-G132)</x:f>
      </x:c>
      <x:c r="J132" t="str">
        <x:f>IF(E132="","",IFERROR((I132/LOOKUP(2,1/($E$5:E131=E132),$I$5:I131))-1,""))</x:f>
      </x:c>
      <x:c r="K132" t="str">
        <x:f>IF(E132="","",IFERROR(IF(B132&lt;&gt;LOOKUP(2,1/($E$5:E131=E132),$B$5:B131),"Ranking change",""),""))</x:f>
      </x:c>
    </x:row>
    <x:row r="133">
      <x:c r="H133" t="str">
        <x:f>IF(OR(F133="",G133=""),"",IF(F133=0,"",G133/F133))</x:f>
      </x:c>
      <x:c r="I133" t="str">
        <x:f>IF(OR(F133="",G133=""),"",F133-G133)</x:f>
      </x:c>
      <x:c r="J133" t="str">
        <x:f>IF(E133="","",IFERROR((I133/LOOKUP(2,1/($E$5:E132=E133),$I$5:I132))-1,""))</x:f>
      </x:c>
      <x:c r="K133" t="str">
        <x:f>IF(E133="","",IFERROR(IF(B133&lt;&gt;LOOKUP(2,1/($E$5:E132=E133),$B$5:B132),"Ranking change",""),""))</x:f>
      </x:c>
    </x:row>
    <x:row r="134">
      <x:c r="H134" t="str">
        <x:f>IF(OR(F134="",G134=""),"",IF(F134=0,"",G134/F134))</x:f>
      </x:c>
      <x:c r="I134" t="str">
        <x:f>IF(OR(F134="",G134=""),"",F134-G134)</x:f>
      </x:c>
      <x:c r="J134" t="str">
        <x:f>IF(E134="","",IFERROR((I134/LOOKUP(2,1/($E$5:E133=E134),$I$5:I133))-1,""))</x:f>
      </x:c>
      <x:c r="K134" t="str">
        <x:f>IF(E134="","",IFERROR(IF(B134&lt;&gt;LOOKUP(2,1/($E$5:E133=E134),$B$5:B133),"Ranking change",""),""))</x:f>
      </x:c>
    </x:row>
    <x:row r="135">
      <x:c r="H135" t="str">
        <x:f>IF(OR(F135="",G135=""),"",IF(F135=0,"",G135/F135))</x:f>
      </x:c>
      <x:c r="I135" t="str">
        <x:f>IF(OR(F135="",G135=""),"",F135-G135)</x:f>
      </x:c>
      <x:c r="J135" t="str">
        <x:f>IF(E135="","",IFERROR((I135/LOOKUP(2,1/($E$5:E134=E135),$I$5:I134))-1,""))</x:f>
      </x:c>
      <x:c r="K135" t="str">
        <x:f>IF(E135="","",IFERROR(IF(B135&lt;&gt;LOOKUP(2,1/($E$5:E134=E135),$B$5:B134),"Ranking change",""),""))</x:f>
      </x:c>
    </x:row>
    <x:row r="136">
      <x:c r="H136" t="str">
        <x:f>IF(OR(F136="",G136=""),"",IF(F136=0,"",G136/F136))</x:f>
      </x:c>
      <x:c r="I136" t="str">
        <x:f>IF(OR(F136="",G136=""),"",F136-G136)</x:f>
      </x:c>
      <x:c r="J136" t="str">
        <x:f>IF(E136="","",IFERROR((I136/LOOKUP(2,1/($E$5:E135=E136),$I$5:I135))-1,""))</x:f>
      </x:c>
      <x:c r="K136" t="str">
        <x:f>IF(E136="","",IFERROR(IF(B136&lt;&gt;LOOKUP(2,1/($E$5:E135=E136),$B$5:B135),"Ranking change",""),""))</x:f>
      </x:c>
    </x:row>
    <x:row r="137">
      <x:c r="H137" t="str">
        <x:f>IF(OR(F137="",G137=""),"",IF(F137=0,"",G137/F137))</x:f>
      </x:c>
      <x:c r="I137" t="str">
        <x:f>IF(OR(F137="",G137=""),"",F137-G137)</x:f>
      </x:c>
      <x:c r="J137" t="str">
        <x:f>IF(E137="","",IFERROR((I137/LOOKUP(2,1/($E$5:E136=E137),$I$5:I136))-1,""))</x:f>
      </x:c>
      <x:c r="K137" t="str">
        <x:f>IF(E137="","",IFERROR(IF(B137&lt;&gt;LOOKUP(2,1/($E$5:E136=E137),$B$5:B136),"Ranking change",""),""))</x:f>
      </x:c>
    </x:row>
    <x:row r="138">
      <x:c r="H138" t="str">
        <x:f>IF(OR(F138="",G138=""),"",IF(F138=0,"",G138/F138))</x:f>
      </x:c>
      <x:c r="I138" t="str">
        <x:f>IF(OR(F138="",G138=""),"",F138-G138)</x:f>
      </x:c>
      <x:c r="J138" t="str">
        <x:f>IF(E138="","",IFERROR((I138/LOOKUP(2,1/($E$5:E137=E138),$I$5:I137))-1,""))</x:f>
      </x:c>
      <x:c r="K138" t="str">
        <x:f>IF(E138="","",IFERROR(IF(B138&lt;&gt;LOOKUP(2,1/($E$5:E137=E138),$B$5:B137),"Ranking change",""),""))</x:f>
      </x:c>
    </x:row>
    <x:row r="139">
      <x:c r="H139" t="str">
        <x:f>IF(OR(F139="",G139=""),"",IF(F139=0,"",G139/F139))</x:f>
      </x:c>
      <x:c r="I139" t="str">
        <x:f>IF(OR(F139="",G139=""),"",F139-G139)</x:f>
      </x:c>
      <x:c r="J139" t="str">
        <x:f>IF(E139="","",IFERROR((I139/LOOKUP(2,1/($E$5:E138=E139),$I$5:I138))-1,""))</x:f>
      </x:c>
      <x:c r="K139" t="str">
        <x:f>IF(E139="","",IFERROR(IF(B139&lt;&gt;LOOKUP(2,1/($E$5:E138=E139),$B$5:B138),"Ranking change",""),""))</x:f>
      </x:c>
    </x:row>
    <x:row r="140">
      <x:c r="H140" t="str">
        <x:f>IF(OR(F140="",G140=""),"",IF(F140=0,"",G140/F140))</x:f>
      </x:c>
      <x:c r="I140" t="str">
        <x:f>IF(OR(F140="",G140=""),"",F140-G140)</x:f>
      </x:c>
      <x:c r="J140" t="str">
        <x:f>IF(E140="","",IFERROR((I140/LOOKUP(2,1/($E$5:E139=E140),$I$5:I139))-1,""))</x:f>
      </x:c>
      <x:c r="K140" t="str">
        <x:f>IF(E140="","",IFERROR(IF(B140&lt;&gt;LOOKUP(2,1/($E$5:E139=E140),$B$5:B139),"Ranking change",""),""))</x:f>
      </x:c>
    </x:row>
    <x:row r="141">
      <x:c r="H141" t="str">
        <x:f>IF(OR(F141="",G141=""),"",IF(F141=0,"",G141/F141))</x:f>
      </x:c>
      <x:c r="I141" t="str">
        <x:f>IF(OR(F141="",G141=""),"",F141-G141)</x:f>
      </x:c>
      <x:c r="J141" t="str">
        <x:f>IF(E141="","",IFERROR((I141/LOOKUP(2,1/($E$5:E140=E141),$I$5:I140))-1,""))</x:f>
      </x:c>
      <x:c r="K141" t="str">
        <x:f>IF(E141="","",IFERROR(IF(B141&lt;&gt;LOOKUP(2,1/($E$5:E140=E141),$B$5:B140),"Ranking change",""),""))</x:f>
      </x:c>
    </x:row>
    <x:row r="142">
      <x:c r="H142" t="str">
        <x:f>IF(OR(F142="",G142=""),"",IF(F142=0,"",G142/F142))</x:f>
      </x:c>
      <x:c r="I142" t="str">
        <x:f>IF(OR(F142="",G142=""),"",F142-G142)</x:f>
      </x:c>
      <x:c r="J142" t="str">
        <x:f>IF(E142="","",IFERROR((I142/LOOKUP(2,1/($E$5:E141=E142),$I$5:I141))-1,""))</x:f>
      </x:c>
      <x:c r="K142" t="str">
        <x:f>IF(E142="","",IFERROR(IF(B142&lt;&gt;LOOKUP(2,1/($E$5:E141=E142),$B$5:B141),"Ranking change",""),""))</x:f>
      </x:c>
    </x:row>
    <x:row r="143">
      <x:c r="H143" t="str">
        <x:f>IF(OR(F143="",G143=""),"",IF(F143=0,"",G143/F143))</x:f>
      </x:c>
      <x:c r="I143" t="str">
        <x:f>IF(OR(F143="",G143=""),"",F143-G143)</x:f>
      </x:c>
      <x:c r="J143" t="str">
        <x:f>IF(E143="","",IFERROR((I143/LOOKUP(2,1/($E$5:E142=E143),$I$5:I142))-1,""))</x:f>
      </x:c>
      <x:c r="K143" t="str">
        <x:f>IF(E143="","",IFERROR(IF(B143&lt;&gt;LOOKUP(2,1/($E$5:E142=E143),$B$5:B142),"Ranking change",""),""))</x:f>
      </x:c>
    </x:row>
    <x:row r="144">
      <x:c r="H144" t="str">
        <x:f>IF(OR(F144="",G144=""),"",IF(F144=0,"",G144/F144))</x:f>
      </x:c>
      <x:c r="I144" t="str">
        <x:f>IF(OR(F144="",G144=""),"",F144-G144)</x:f>
      </x:c>
      <x:c r="J144" t="str">
        <x:f>IF(E144="","",IFERROR((I144/LOOKUP(2,1/($E$5:E143=E144),$I$5:I143))-1,""))</x:f>
      </x:c>
      <x:c r="K144" t="str">
        <x:f>IF(E144="","",IFERROR(IF(B144&lt;&gt;LOOKUP(2,1/($E$5:E143=E144),$B$5:B143),"Ranking change",""),""))</x:f>
      </x:c>
    </x:row>
    <x:row r="145">
      <x:c r="H145" t="str">
        <x:f>IF(OR(F145="",G145=""),"",IF(F145=0,"",G145/F145))</x:f>
      </x:c>
      <x:c r="I145" t="str">
        <x:f>IF(OR(F145="",G145=""),"",F145-G145)</x:f>
      </x:c>
      <x:c r="J145" t="str">
        <x:f>IF(E145="","",IFERROR((I145/LOOKUP(2,1/($E$5:E144=E145),$I$5:I144))-1,""))</x:f>
      </x:c>
      <x:c r="K145" t="str">
        <x:f>IF(E145="","",IFERROR(IF(B145&lt;&gt;LOOKUP(2,1/($E$5:E144=E145),$B$5:B144),"Ranking change",""),""))</x:f>
      </x:c>
    </x:row>
    <x:row r="146">
      <x:c r="H146" t="str">
        <x:f>IF(OR(F146="",G146=""),"",IF(F146=0,"",G146/F146))</x:f>
      </x:c>
      <x:c r="I146" t="str">
        <x:f>IF(OR(F146="",G146=""),"",F146-G146)</x:f>
      </x:c>
      <x:c r="J146" t="str">
        <x:f>IF(E146="","",IFERROR((I146/LOOKUP(2,1/($E$5:E145=E146),$I$5:I145))-1,""))</x:f>
      </x:c>
      <x:c r="K146" t="str">
        <x:f>IF(E146="","",IFERROR(IF(B146&lt;&gt;LOOKUP(2,1/($E$5:E145=E146),$B$5:B145),"Ranking change",""),""))</x:f>
      </x:c>
    </x:row>
    <x:row r="147">
      <x:c r="H147" t="str">
        <x:f>IF(OR(F147="",G147=""),"",IF(F147=0,"",G147/F147))</x:f>
      </x:c>
      <x:c r="I147" t="str">
        <x:f>IF(OR(F147="",G147=""),"",F147-G147)</x:f>
      </x:c>
      <x:c r="J147" t="str">
        <x:f>IF(E147="","",IFERROR((I147/LOOKUP(2,1/($E$5:E146=E147),$I$5:I146))-1,""))</x:f>
      </x:c>
      <x:c r="K147" t="str">
        <x:f>IF(E147="","",IFERROR(IF(B147&lt;&gt;LOOKUP(2,1/($E$5:E146=E147),$B$5:B146),"Ranking change",""),""))</x:f>
      </x:c>
    </x:row>
    <x:row r="148">
      <x:c r="H148" t="str">
        <x:f>IF(OR(F148="",G148=""),"",IF(F148=0,"",G148/F148))</x:f>
      </x:c>
      <x:c r="I148" t="str">
        <x:f>IF(OR(F148="",G148=""),"",F148-G148)</x:f>
      </x:c>
      <x:c r="J148" t="str">
        <x:f>IF(E148="","",IFERROR((I148/LOOKUP(2,1/($E$5:E147=E148),$I$5:I147))-1,""))</x:f>
      </x:c>
      <x:c r="K148" t="str">
        <x:f>IF(E148="","",IFERROR(IF(B148&lt;&gt;LOOKUP(2,1/($E$5:E147=E148),$B$5:B147),"Ranking change",""),""))</x:f>
      </x:c>
    </x:row>
    <x:row r="149">
      <x:c r="H149" t="str">
        <x:f>IF(OR(F149="",G149=""),"",IF(F149=0,"",G149/F149))</x:f>
      </x:c>
      <x:c r="I149" t="str">
        <x:f>IF(OR(F149="",G149=""),"",F149-G149)</x:f>
      </x:c>
      <x:c r="J149" t="str">
        <x:f>IF(E149="","",IFERROR((I149/LOOKUP(2,1/($E$5:E148=E149),$I$5:I148))-1,""))</x:f>
      </x:c>
      <x:c r="K149" t="str">
        <x:f>IF(E149="","",IFERROR(IF(B149&lt;&gt;LOOKUP(2,1/($E$5:E148=E149),$B$5:B148),"Ranking change",""),""))</x:f>
      </x:c>
    </x:row>
    <x:row r="150">
      <x:c r="H150" t="str">
        <x:f>IF(OR(F150="",G150=""),"",IF(F150=0,"",G150/F150))</x:f>
      </x:c>
      <x:c r="I150" t="str">
        <x:f>IF(OR(F150="",G150=""),"",F150-G150)</x:f>
      </x:c>
      <x:c r="J150" t="str">
        <x:f>IF(E150="","",IFERROR((I150/LOOKUP(2,1/($E$5:E149=E150),$I$5:I149))-1,""))</x:f>
      </x:c>
      <x:c r="K150" t="str">
        <x:f>IF(E150="","",IFERROR(IF(B150&lt;&gt;LOOKUP(2,1/($E$5:E149=E150),$B$5:B149),"Ranking change",""),""))</x:f>
      </x:c>
    </x:row>
    <x:row r="151">
      <x:c r="H151" t="str">
        <x:f>IF(OR(F151="",G151=""),"",IF(F151=0,"",G151/F151))</x:f>
      </x:c>
      <x:c r="I151" t="str">
        <x:f>IF(OR(F151="",G151=""),"",F151-G151)</x:f>
      </x:c>
      <x:c r="J151" t="str">
        <x:f>IF(E151="","",IFERROR((I151/LOOKUP(2,1/($E$5:E150=E151),$I$5:I150))-1,""))</x:f>
      </x:c>
      <x:c r="K151" t="str">
        <x:f>IF(E151="","",IFERROR(IF(B151&lt;&gt;LOOKUP(2,1/($E$5:E150=E151),$B$5:B150),"Ranking change",""),""))</x:f>
      </x:c>
    </x:row>
    <x:row r="152">
      <x:c r="H152" t="str">
        <x:f>IF(OR(F152="",G152=""),"",IF(F152=0,"",G152/F152))</x:f>
      </x:c>
      <x:c r="I152" t="str">
        <x:f>IF(OR(F152="",G152=""),"",F152-G152)</x:f>
      </x:c>
      <x:c r="J152" t="str">
        <x:f>IF(E152="","",IFERROR((I152/LOOKUP(2,1/($E$5:E151=E152),$I$5:I151))-1,""))</x:f>
      </x:c>
      <x:c r="K152" t="str">
        <x:f>IF(E152="","",IFERROR(IF(B152&lt;&gt;LOOKUP(2,1/($E$5:E151=E152),$B$5:B151),"Ranking change",""),""))</x:f>
      </x:c>
    </x:row>
    <x:row r="153">
      <x:c r="H153" t="str">
        <x:f>IF(OR(F153="",G153=""),"",IF(F153=0,"",G153/F153))</x:f>
      </x:c>
      <x:c r="I153" t="str">
        <x:f>IF(OR(F153="",G153=""),"",F153-G153)</x:f>
      </x:c>
      <x:c r="J153" t="str">
        <x:f>IF(E153="","",IFERROR((I153/LOOKUP(2,1/($E$5:E152=E153),$I$5:I152))-1,""))</x:f>
      </x:c>
      <x:c r="K153" t="str">
        <x:f>IF(E153="","",IFERROR(IF(B153&lt;&gt;LOOKUP(2,1/($E$5:E152=E153),$B$5:B152),"Ranking change",""),""))</x:f>
      </x:c>
    </x:row>
    <x:row r="154">
      <x:c r="H154" t="str">
        <x:f>IF(OR(F154="",G154=""),"",IF(F154=0,"",G154/F154))</x:f>
      </x:c>
      <x:c r="I154" t="str">
        <x:f>IF(OR(F154="",G154=""),"",F154-G154)</x:f>
      </x:c>
      <x:c r="J154" t="str">
        <x:f>IF(E154="","",IFERROR((I154/LOOKUP(2,1/($E$5:E153=E154),$I$5:I153))-1,""))</x:f>
      </x:c>
      <x:c r="K154" t="str">
        <x:f>IF(E154="","",IFERROR(IF(B154&lt;&gt;LOOKUP(2,1/($E$5:E153=E154),$B$5:B153),"Ranking change",""),""))</x:f>
      </x:c>
    </x:row>
    <x:row r="155">
      <x:c r="H155" t="str">
        <x:f>IF(OR(F155="",G155=""),"",IF(F155=0,"",G155/F155))</x:f>
      </x:c>
      <x:c r="I155" t="str">
        <x:f>IF(OR(F155="",G155=""),"",F155-G155)</x:f>
      </x:c>
      <x:c r="J155" t="str">
        <x:f>IF(E155="","",IFERROR((I155/LOOKUP(2,1/($E$5:E154=E155),$I$5:I154))-1,""))</x:f>
      </x:c>
      <x:c r="K155" t="str">
        <x:f>IF(E155="","",IFERROR(IF(B155&lt;&gt;LOOKUP(2,1/($E$5:E154=E155),$B$5:B154),"Ranking change",""),""))</x:f>
      </x:c>
    </x:row>
    <x:row r="156">
      <x:c r="H156" t="str">
        <x:f>IF(OR(F156="",G156=""),"",IF(F156=0,"",G156/F156))</x:f>
      </x:c>
      <x:c r="I156" t="str">
        <x:f>IF(OR(F156="",G156=""),"",F156-G156)</x:f>
      </x:c>
      <x:c r="J156" t="str">
        <x:f>IF(E156="","",IFERROR((I156/LOOKUP(2,1/($E$5:E155=E156),$I$5:I155))-1,""))</x:f>
      </x:c>
      <x:c r="K156" t="str">
        <x:f>IF(E156="","",IFERROR(IF(B156&lt;&gt;LOOKUP(2,1/($E$5:E155=E156),$B$5:B155),"Ranking change",""),""))</x:f>
      </x:c>
    </x:row>
    <x:row r="157">
      <x:c r="H157" t="str">
        <x:f>IF(OR(F157="",G157=""),"",IF(F157=0,"",G157/F157))</x:f>
      </x:c>
      <x:c r="I157" t="str">
        <x:f>IF(OR(F157="",G157=""),"",F157-G157)</x:f>
      </x:c>
      <x:c r="J157" t="str">
        <x:f>IF(E157="","",IFERROR((I157/LOOKUP(2,1/($E$5:E156=E157),$I$5:I156))-1,""))</x:f>
      </x:c>
      <x:c r="K157" t="str">
        <x:f>IF(E157="","",IFERROR(IF(B157&lt;&gt;LOOKUP(2,1/($E$5:E156=E157),$B$5:B156),"Ranking change",""),""))</x:f>
      </x:c>
    </x:row>
    <x:row r="158">
      <x:c r="H158" t="str">
        <x:f>IF(OR(F158="",G158=""),"",IF(F158=0,"",G158/F158))</x:f>
      </x:c>
      <x:c r="I158" t="str">
        <x:f>IF(OR(F158="",G158=""),"",F158-G158)</x:f>
      </x:c>
      <x:c r="J158" t="str">
        <x:f>IF(E158="","",IFERROR((I158/LOOKUP(2,1/($E$5:E157=E158),$I$5:I157))-1,""))</x:f>
      </x:c>
      <x:c r="K158" t="str">
        <x:f>IF(E158="","",IFERROR(IF(B158&lt;&gt;LOOKUP(2,1/($E$5:E157=E158),$B$5:B157),"Ranking change",""),""))</x:f>
      </x:c>
    </x:row>
    <x:row r="159">
      <x:c r="H159" t="str">
        <x:f>IF(OR(F159="",G159=""),"",IF(F159=0,"",G159/F159))</x:f>
      </x:c>
      <x:c r="I159" t="str">
        <x:f>IF(OR(F159="",G159=""),"",F159-G159)</x:f>
      </x:c>
      <x:c r="J159" t="str">
        <x:f>IF(E159="","",IFERROR((I159/LOOKUP(2,1/($E$5:E158=E159),$I$5:I158))-1,""))</x:f>
      </x:c>
      <x:c r="K159" t="str">
        <x:f>IF(E159="","",IFERROR(IF(B159&lt;&gt;LOOKUP(2,1/($E$5:E158=E159),$B$5:B158),"Ranking change",""),""))</x:f>
      </x:c>
    </x:row>
    <x:row r="160">
      <x:c r="H160" t="str">
        <x:f>IF(OR(F160="",G160=""),"",IF(F160=0,"",G160/F160))</x:f>
      </x:c>
      <x:c r="I160" t="str">
        <x:f>IF(OR(F160="",G160=""),"",F160-G160)</x:f>
      </x:c>
      <x:c r="J160" t="str">
        <x:f>IF(E160="","",IFERROR((I160/LOOKUP(2,1/($E$5:E159=E160),$I$5:I159))-1,""))</x:f>
      </x:c>
      <x:c r="K160" t="str">
        <x:f>IF(E160="","",IFERROR(IF(B160&lt;&gt;LOOKUP(2,1/($E$5:E159=E160),$B$5:B159),"Ranking change",""),""))</x:f>
      </x:c>
    </x:row>
    <x:row r="161">
      <x:c r="H161" t="str">
        <x:f>IF(OR(F161="",G161=""),"",IF(F161=0,"",G161/F161))</x:f>
      </x:c>
      <x:c r="I161" t="str">
        <x:f>IF(OR(F161="",G161=""),"",F161-G161)</x:f>
      </x:c>
      <x:c r="J161" t="str">
        <x:f>IF(E161="","",IFERROR((I161/LOOKUP(2,1/($E$5:E160=E161),$I$5:I160))-1,""))</x:f>
      </x:c>
      <x:c r="K161" t="str">
        <x:f>IF(E161="","",IFERROR(IF(B161&lt;&gt;LOOKUP(2,1/($E$5:E160=E161),$B$5:B160),"Ranking change",""),""))</x:f>
      </x:c>
    </x:row>
    <x:row r="162">
      <x:c r="H162" t="str">
        <x:f>IF(OR(F162="",G162=""),"",IF(F162=0,"",G162/F162))</x:f>
      </x:c>
      <x:c r="I162" t="str">
        <x:f>IF(OR(F162="",G162=""),"",F162-G162)</x:f>
      </x:c>
      <x:c r="J162" t="str">
        <x:f>IF(E162="","",IFERROR((I162/LOOKUP(2,1/($E$5:E161=E162),$I$5:I161))-1,""))</x:f>
      </x:c>
      <x:c r="K162" t="str">
        <x:f>IF(E162="","",IFERROR(IF(B162&lt;&gt;LOOKUP(2,1/($E$5:E161=E162),$B$5:B161),"Ranking change",""),""))</x:f>
      </x:c>
    </x:row>
    <x:row r="163">
      <x:c r="H163" t="str">
        <x:f>IF(OR(F163="",G163=""),"",IF(F163=0,"",G163/F163))</x:f>
      </x:c>
      <x:c r="I163" t="str">
        <x:f>IF(OR(F163="",G163=""),"",F163-G163)</x:f>
      </x:c>
      <x:c r="J163" t="str">
        <x:f>IF(E163="","",IFERROR((I163/LOOKUP(2,1/($E$5:E162=E163),$I$5:I162))-1,""))</x:f>
      </x:c>
      <x:c r="K163" t="str">
        <x:f>IF(E163="","",IFERROR(IF(B163&lt;&gt;LOOKUP(2,1/($E$5:E162=E163),$B$5:B162),"Ranking change",""),""))</x:f>
      </x:c>
    </x:row>
    <x:row r="164">
      <x:c r="H164" t="str">
        <x:f>IF(OR(F164="",G164=""),"",IF(F164=0,"",G164/F164))</x:f>
      </x:c>
      <x:c r="I164" t="str">
        <x:f>IF(OR(F164="",G164=""),"",F164-G164)</x:f>
      </x:c>
      <x:c r="J164" t="str">
        <x:f>IF(E164="","",IFERROR((I164/LOOKUP(2,1/($E$5:E163=E164),$I$5:I163))-1,""))</x:f>
      </x:c>
      <x:c r="K164" t="str">
        <x:f>IF(E164="","",IFERROR(IF(B164&lt;&gt;LOOKUP(2,1/($E$5:E163=E164),$B$5:B163),"Ranking change",""),""))</x:f>
      </x:c>
    </x:row>
    <x:row r="165">
      <x:c r="H165" t="str">
        <x:f>IF(OR(F165="",G165=""),"",IF(F165=0,"",G165/F165))</x:f>
      </x:c>
      <x:c r="I165" t="str">
        <x:f>IF(OR(F165="",G165=""),"",F165-G165)</x:f>
      </x:c>
      <x:c r="J165" t="str">
        <x:f>IF(E165="","",IFERROR((I165/LOOKUP(2,1/($E$5:E164=E165),$I$5:I164))-1,""))</x:f>
      </x:c>
      <x:c r="K165" t="str">
        <x:f>IF(E165="","",IFERROR(IF(B165&lt;&gt;LOOKUP(2,1/($E$5:E164=E165),$B$5:B164),"Ranking change",""),""))</x:f>
      </x:c>
    </x:row>
    <x:row r="166">
      <x:c r="H166" t="str">
        <x:f>IF(OR(F166="",G166=""),"",IF(F166=0,"",G166/F166))</x:f>
      </x:c>
      <x:c r="I166" t="str">
        <x:f>IF(OR(F166="",G166=""),"",F166-G166)</x:f>
      </x:c>
      <x:c r="J166" t="str">
        <x:f>IF(E166="","",IFERROR((I166/LOOKUP(2,1/($E$5:E165=E166),$I$5:I165))-1,""))</x:f>
      </x:c>
      <x:c r="K166" t="str">
        <x:f>IF(E166="","",IFERROR(IF(B166&lt;&gt;LOOKUP(2,1/($E$5:E165=E166),$B$5:B165),"Ranking change",""),""))</x:f>
      </x:c>
    </x:row>
    <x:row r="167">
      <x:c r="H167" t="str">
        <x:f>IF(OR(F167="",G167=""),"",IF(F167=0,"",G167/F167))</x:f>
      </x:c>
      <x:c r="I167" t="str">
        <x:f>IF(OR(F167="",G167=""),"",F167-G167)</x:f>
      </x:c>
      <x:c r="J167" t="str">
        <x:f>IF(E167="","",IFERROR((I167/LOOKUP(2,1/($E$5:E166=E167),$I$5:I166))-1,""))</x:f>
      </x:c>
      <x:c r="K167" t="str">
        <x:f>IF(E167="","",IFERROR(IF(B167&lt;&gt;LOOKUP(2,1/($E$5:E166=E167),$B$5:B166),"Ranking change",""),""))</x:f>
      </x:c>
    </x:row>
    <x:row r="168">
      <x:c r="H168" t="str">
        <x:f>IF(OR(F168="",G168=""),"",IF(F168=0,"",G168/F168))</x:f>
      </x:c>
      <x:c r="I168" t="str">
        <x:f>IF(OR(F168="",G168=""),"",F168-G168)</x:f>
      </x:c>
      <x:c r="J168" t="str">
        <x:f>IF(E168="","",IFERROR((I168/LOOKUP(2,1/($E$5:E167=E168),$I$5:I167))-1,""))</x:f>
      </x:c>
      <x:c r="K168" t="str">
        <x:f>IF(E168="","",IFERROR(IF(B168&lt;&gt;LOOKUP(2,1/($E$5:E167=E168),$B$5:B167),"Ranking change",""),""))</x:f>
      </x:c>
    </x:row>
    <x:row r="169">
      <x:c r="H169" t="str">
        <x:f>IF(OR(F169="",G169=""),"",IF(F169=0,"",G169/F169))</x:f>
      </x:c>
      <x:c r="I169" t="str">
        <x:f>IF(OR(F169="",G169=""),"",F169-G169)</x:f>
      </x:c>
      <x:c r="J169" t="str">
        <x:f>IF(E169="","",IFERROR((I169/LOOKUP(2,1/($E$5:E168=E169),$I$5:I168))-1,""))</x:f>
      </x:c>
      <x:c r="K169" t="str">
        <x:f>IF(E169="","",IFERROR(IF(B169&lt;&gt;LOOKUP(2,1/($E$5:E168=E169),$B$5:B168),"Ranking change",""),""))</x:f>
      </x:c>
    </x:row>
    <x:row r="170">
      <x:c r="H170" t="str">
        <x:f>IF(OR(F170="",G170=""),"",IF(F170=0,"",G170/F170))</x:f>
      </x:c>
      <x:c r="I170" t="str">
        <x:f>IF(OR(F170="",G170=""),"",F170-G170)</x:f>
      </x:c>
      <x:c r="J170" t="str">
        <x:f>IF(E170="","",IFERROR((I170/LOOKUP(2,1/($E$5:E169=E170),$I$5:I169))-1,""))</x:f>
      </x:c>
      <x:c r="K170" t="str">
        <x:f>IF(E170="","",IFERROR(IF(B170&lt;&gt;LOOKUP(2,1/($E$5:E169=E170),$B$5:B169),"Ranking change",""),""))</x:f>
      </x:c>
    </x:row>
    <x:row r="171">
      <x:c r="H171" t="str">
        <x:f>IF(OR(F171="",G171=""),"",IF(F171=0,"",G171/F171))</x:f>
      </x:c>
      <x:c r="I171" t="str">
        <x:f>IF(OR(F171="",G171=""),"",F171-G171)</x:f>
      </x:c>
      <x:c r="J171" t="str">
        <x:f>IF(E171="","",IFERROR((I171/LOOKUP(2,1/($E$5:E170=E171),$I$5:I170))-1,""))</x:f>
      </x:c>
      <x:c r="K171" t="str">
        <x:f>IF(E171="","",IFERROR(IF(B171&lt;&gt;LOOKUP(2,1/($E$5:E170=E171),$B$5:B170),"Ranking change",""),""))</x:f>
      </x:c>
    </x:row>
    <x:row r="172">
      <x:c r="H172" t="str">
        <x:f>IF(OR(F172="",G172=""),"",IF(F172=0,"",G172/F172))</x:f>
      </x:c>
      <x:c r="I172" t="str">
        <x:f>IF(OR(F172="",G172=""),"",F172-G172)</x:f>
      </x:c>
      <x:c r="J172" t="str">
        <x:f>IF(E172="","",IFERROR((I172/LOOKUP(2,1/($E$5:E171=E172),$I$5:I171))-1,""))</x:f>
      </x:c>
      <x:c r="K172" t="str">
        <x:f>IF(E172="","",IFERROR(IF(B172&lt;&gt;LOOKUP(2,1/($E$5:E171=E172),$B$5:B171),"Ranking change",""),""))</x:f>
      </x:c>
    </x:row>
    <x:row r="173">
      <x:c r="H173" t="str">
        <x:f>IF(OR(F173="",G173=""),"",IF(F173=0,"",G173/F173))</x:f>
      </x:c>
      <x:c r="I173" t="str">
        <x:f>IF(OR(F173="",G173=""),"",F173-G173)</x:f>
      </x:c>
      <x:c r="J173" t="str">
        <x:f>IF(E173="","",IFERROR((I173/LOOKUP(2,1/($E$5:E172=E173),$I$5:I172))-1,""))</x:f>
      </x:c>
      <x:c r="K173" t="str">
        <x:f>IF(E173="","",IFERROR(IF(B173&lt;&gt;LOOKUP(2,1/($E$5:E172=E173),$B$5:B172),"Ranking change",""),""))</x:f>
      </x:c>
    </x:row>
    <x:row r="174">
      <x:c r="H174" t="str">
        <x:f>IF(OR(F174="",G174=""),"",IF(F174=0,"",G174/F174))</x:f>
      </x:c>
      <x:c r="I174" t="str">
        <x:f>IF(OR(F174="",G174=""),"",F174-G174)</x:f>
      </x:c>
      <x:c r="J174" t="str">
        <x:f>IF(E174="","",IFERROR((I174/LOOKUP(2,1/($E$5:E173=E174),$I$5:I173))-1,""))</x:f>
      </x:c>
      <x:c r="K174" t="str">
        <x:f>IF(E174="","",IFERROR(IF(B174&lt;&gt;LOOKUP(2,1/($E$5:E173=E174),$B$5:B173),"Ranking change",""),""))</x:f>
      </x:c>
    </x:row>
    <x:row r="175">
      <x:c r="H175" t="str">
        <x:f>IF(OR(F175="",G175=""),"",IF(F175=0,"",G175/F175))</x:f>
      </x:c>
      <x:c r="I175" t="str">
        <x:f>IF(OR(F175="",G175=""),"",F175-G175)</x:f>
      </x:c>
      <x:c r="J175" t="str">
        <x:f>IF(E175="","",IFERROR((I175/LOOKUP(2,1/($E$5:E174=E175),$I$5:I174))-1,""))</x:f>
      </x:c>
      <x:c r="K175" t="str">
        <x:f>IF(E175="","",IFERROR(IF(B175&lt;&gt;LOOKUP(2,1/($E$5:E174=E175),$B$5:B174),"Ranking change",""),""))</x:f>
      </x:c>
    </x:row>
    <x:row r="176">
      <x:c r="H176" t="str">
        <x:f>IF(OR(F176="",G176=""),"",IF(F176=0,"",G176/F176))</x:f>
      </x:c>
      <x:c r="I176" t="str">
        <x:f>IF(OR(F176="",G176=""),"",F176-G176)</x:f>
      </x:c>
      <x:c r="J176" t="str">
        <x:f>IF(E176="","",IFERROR((I176/LOOKUP(2,1/($E$5:E175=E176),$I$5:I175))-1,""))</x:f>
      </x:c>
      <x:c r="K176" t="str">
        <x:f>IF(E176="","",IFERROR(IF(B176&lt;&gt;LOOKUP(2,1/($E$5:E175=E176),$B$5:B175),"Ranking change",""),""))</x:f>
      </x:c>
    </x:row>
    <x:row r="177">
      <x:c r="H177" t="str">
        <x:f>IF(OR(F177="",G177=""),"",IF(F177=0,"",G177/F177))</x:f>
      </x:c>
      <x:c r="I177" t="str">
        <x:f>IF(OR(F177="",G177=""),"",F177-G177)</x:f>
      </x:c>
      <x:c r="J177" t="str">
        <x:f>IF(E177="","",IFERROR((I177/LOOKUP(2,1/($E$5:E176=E177),$I$5:I176))-1,""))</x:f>
      </x:c>
      <x:c r="K177" t="str">
        <x:f>IF(E177="","",IFERROR(IF(B177&lt;&gt;LOOKUP(2,1/($E$5:E176=E177),$B$5:B176),"Ranking change",""),""))</x:f>
      </x:c>
    </x:row>
    <x:row r="178">
      <x:c r="H178" t="str">
        <x:f>IF(OR(F178="",G178=""),"",IF(F178=0,"",G178/F178))</x:f>
      </x:c>
      <x:c r="I178" t="str">
        <x:f>IF(OR(F178="",G178=""),"",F178-G178)</x:f>
      </x:c>
      <x:c r="J178" t="str">
        <x:f>IF(E178="","",IFERROR((I178/LOOKUP(2,1/($E$5:E177=E178),$I$5:I177))-1,""))</x:f>
      </x:c>
      <x:c r="K178" t="str">
        <x:f>IF(E178="","",IFERROR(IF(B178&lt;&gt;LOOKUP(2,1/($E$5:E177=E178),$B$5:B177),"Ranking change",""),""))</x:f>
      </x:c>
    </x:row>
    <x:row r="179">
      <x:c r="H179" t="str">
        <x:f>IF(OR(F179="",G179=""),"",IF(F179=0,"",G179/F179))</x:f>
      </x:c>
      <x:c r="I179" t="str">
        <x:f>IF(OR(F179="",G179=""),"",F179-G179)</x:f>
      </x:c>
      <x:c r="J179" t="str">
        <x:f>IF(E179="","",IFERROR((I179/LOOKUP(2,1/($E$5:E178=E179),$I$5:I178))-1,""))</x:f>
      </x:c>
      <x:c r="K179" t="str">
        <x:f>IF(E179="","",IFERROR(IF(B179&lt;&gt;LOOKUP(2,1/($E$5:E178=E179),$B$5:B178),"Ranking change",""),""))</x:f>
      </x:c>
    </x:row>
    <x:row r="180">
      <x:c r="H180" t="str">
        <x:f>IF(OR(F180="",G180=""),"",IF(F180=0,"",G180/F180))</x:f>
      </x:c>
      <x:c r="I180" t="str">
        <x:f>IF(OR(F180="",G180=""),"",F180-G180)</x:f>
      </x:c>
      <x:c r="J180" t="str">
        <x:f>IF(E180="","",IFERROR((I180/LOOKUP(2,1/($E$5:E179=E180),$I$5:I179))-1,""))</x:f>
      </x:c>
      <x:c r="K180" t="str">
        <x:f>IF(E180="","",IFERROR(IF(B180&lt;&gt;LOOKUP(2,1/($E$5:E179=E180),$B$5:B179),"Ranking change",""),""))</x:f>
      </x:c>
    </x:row>
    <x:row r="181">
      <x:c r="H181" t="str">
        <x:f>IF(OR(F181="",G181=""),"",IF(F181=0,"",G181/F181))</x:f>
      </x:c>
      <x:c r="I181" t="str">
        <x:f>IF(OR(F181="",G181=""),"",F181-G181)</x:f>
      </x:c>
      <x:c r="J181" t="str">
        <x:f>IF(E181="","",IFERROR((I181/LOOKUP(2,1/($E$5:E180=E181),$I$5:I180))-1,""))</x:f>
      </x:c>
      <x:c r="K181" t="str">
        <x:f>IF(E181="","",IFERROR(IF(B181&lt;&gt;LOOKUP(2,1/($E$5:E180=E181),$B$5:B180),"Ranking change",""),""))</x:f>
      </x:c>
    </x:row>
    <x:row r="182">
      <x:c r="H182" t="str">
        <x:f>IF(OR(F182="",G182=""),"",IF(F182=0,"",G182/F182))</x:f>
      </x:c>
      <x:c r="I182" t="str">
        <x:f>IF(OR(F182="",G182=""),"",F182-G182)</x:f>
      </x:c>
      <x:c r="J182" t="str">
        <x:f>IF(E182="","",IFERROR((I182/LOOKUP(2,1/($E$5:E181=E182),$I$5:I181))-1,""))</x:f>
      </x:c>
      <x:c r="K182" t="str">
        <x:f>IF(E182="","",IFERROR(IF(B182&lt;&gt;LOOKUP(2,1/($E$5:E181=E182),$B$5:B181),"Ranking change",""),""))</x:f>
      </x:c>
    </x:row>
    <x:row r="183">
      <x:c r="H183" t="str">
        <x:f>IF(OR(F183="",G183=""),"",IF(F183=0,"",G183/F183))</x:f>
      </x:c>
      <x:c r="I183" t="str">
        <x:f>IF(OR(F183="",G183=""),"",F183-G183)</x:f>
      </x:c>
      <x:c r="J183" t="str">
        <x:f>IF(E183="","",IFERROR((I183/LOOKUP(2,1/($E$5:E182=E183),$I$5:I182))-1,""))</x:f>
      </x:c>
      <x:c r="K183" t="str">
        <x:f>IF(E183="","",IFERROR(IF(B183&lt;&gt;LOOKUP(2,1/($E$5:E182=E183),$B$5:B182),"Ranking change",""),""))</x:f>
      </x:c>
    </x:row>
    <x:row r="184">
      <x:c r="H184" t="str">
        <x:f>IF(OR(F184="",G184=""),"",IF(F184=0,"",G184/F184))</x:f>
      </x:c>
      <x:c r="I184" t="str">
        <x:f>IF(OR(F184="",G184=""),"",F184-G184)</x:f>
      </x:c>
      <x:c r="J184" t="str">
        <x:f>IF(E184="","",IFERROR((I184/LOOKUP(2,1/($E$5:E183=E184),$I$5:I183))-1,""))</x:f>
      </x:c>
      <x:c r="K184" t="str">
        <x:f>IF(E184="","",IFERROR(IF(B184&lt;&gt;LOOKUP(2,1/($E$5:E183=E184),$B$5:B183),"Ranking change",""),""))</x:f>
      </x:c>
    </x:row>
    <x:row r="185">
      <x:c r="H185" t="str">
        <x:f>IF(OR(F185="",G185=""),"",IF(F185=0,"",G185/F185))</x:f>
      </x:c>
      <x:c r="I185" t="str">
        <x:f>IF(OR(F185="",G185=""),"",F185-G185)</x:f>
      </x:c>
      <x:c r="J185" t="str">
        <x:f>IF(E185="","",IFERROR((I185/LOOKUP(2,1/($E$5:E184=E185),$I$5:I184))-1,""))</x:f>
      </x:c>
      <x:c r="K185" t="str">
        <x:f>IF(E185="","",IFERROR(IF(B185&lt;&gt;LOOKUP(2,1/($E$5:E184=E185),$B$5:B184),"Ranking change",""),""))</x:f>
      </x:c>
    </x:row>
    <x:row r="186">
      <x:c r="H186" t="str">
        <x:f>IF(OR(F186="",G186=""),"",IF(F186=0,"",G186/F186))</x:f>
      </x:c>
      <x:c r="I186" t="str">
        <x:f>IF(OR(F186="",G186=""),"",F186-G186)</x:f>
      </x:c>
      <x:c r="J186" t="str">
        <x:f>IF(E186="","",IFERROR((I186/LOOKUP(2,1/($E$5:E185=E186),$I$5:I185))-1,""))</x:f>
      </x:c>
      <x:c r="K186" t="str">
        <x:f>IF(E186="","",IFERROR(IF(B186&lt;&gt;LOOKUP(2,1/($E$5:E185=E186),$B$5:B185),"Ranking change",""),""))</x:f>
      </x:c>
    </x:row>
    <x:row r="187">
      <x:c r="H187" t="str">
        <x:f>IF(OR(F187="",G187=""),"",IF(F187=0,"",G187/F187))</x:f>
      </x:c>
      <x:c r="I187" t="str">
        <x:f>IF(OR(F187="",G187=""),"",F187-G187)</x:f>
      </x:c>
      <x:c r="J187" t="str">
        <x:f>IF(E187="","",IFERROR((I187/LOOKUP(2,1/($E$5:E186=E187),$I$5:I186))-1,""))</x:f>
      </x:c>
      <x:c r="K187" t="str">
        <x:f>IF(E187="","",IFERROR(IF(B187&lt;&gt;LOOKUP(2,1/($E$5:E186=E187),$B$5:B186),"Ranking change",""),""))</x:f>
      </x:c>
    </x:row>
    <x:row r="188">
      <x:c r="H188" t="str">
        <x:f>IF(OR(F188="",G188=""),"",IF(F188=0,"",G188/F188))</x:f>
      </x:c>
      <x:c r="I188" t="str">
        <x:f>IF(OR(F188="",G188=""),"",F188-G188)</x:f>
      </x:c>
      <x:c r="J188" t="str">
        <x:f>IF(E188="","",IFERROR((I188/LOOKUP(2,1/($E$5:E187=E188),$I$5:I187))-1,""))</x:f>
      </x:c>
      <x:c r="K188" t="str">
        <x:f>IF(E188="","",IFERROR(IF(B188&lt;&gt;LOOKUP(2,1/($E$5:E187=E188),$B$5:B187),"Ranking change",""),""))</x:f>
      </x:c>
    </x:row>
    <x:row r="189">
      <x:c r="H189" t="str">
        <x:f>IF(OR(F189="",G189=""),"",IF(F189=0,"",G189/F189))</x:f>
      </x:c>
      <x:c r="I189" t="str">
        <x:f>IF(OR(F189="",G189=""),"",F189-G189)</x:f>
      </x:c>
      <x:c r="J189" t="str">
        <x:f>IF(E189="","",IFERROR((I189/LOOKUP(2,1/($E$5:E188=E189),$I$5:I188))-1,""))</x:f>
      </x:c>
      <x:c r="K189" t="str">
        <x:f>IF(E189="","",IFERROR(IF(B189&lt;&gt;LOOKUP(2,1/($E$5:E188=E189),$B$5:B188),"Ranking change",""),""))</x:f>
      </x:c>
    </x:row>
    <x:row r="190">
      <x:c r="H190" t="str">
        <x:f>IF(OR(F190="",G190=""),"",IF(F190=0,"",G190/F190))</x:f>
      </x:c>
      <x:c r="I190" t="str">
        <x:f>IF(OR(F190="",G190=""),"",F190-G190)</x:f>
      </x:c>
      <x:c r="J190" t="str">
        <x:f>IF(E190="","",IFERROR((I190/LOOKUP(2,1/($E$5:E189=E190),$I$5:I189))-1,""))</x:f>
      </x:c>
      <x:c r="K190" t="str">
        <x:f>IF(E190="","",IFERROR(IF(B190&lt;&gt;LOOKUP(2,1/($E$5:E189=E190),$B$5:B189),"Ranking change",""),""))</x:f>
      </x:c>
    </x:row>
    <x:row r="191">
      <x:c r="H191" t="str">
        <x:f>IF(OR(F191="",G191=""),"",IF(F191=0,"",G191/F191))</x:f>
      </x:c>
      <x:c r="I191" t="str">
        <x:f>IF(OR(F191="",G191=""),"",F191-G191)</x:f>
      </x:c>
      <x:c r="J191" t="str">
        <x:f>IF(E191="","",IFERROR((I191/LOOKUP(2,1/($E$5:E190=E191),$I$5:I190))-1,""))</x:f>
      </x:c>
      <x:c r="K191" t="str">
        <x:f>IF(E191="","",IFERROR(IF(B191&lt;&gt;LOOKUP(2,1/($E$5:E190=E191),$B$5:B190),"Ranking change",""),""))</x:f>
      </x:c>
    </x:row>
    <x:row r="192">
      <x:c r="H192" t="str">
        <x:f>IF(OR(F192="",G192=""),"",IF(F192=0,"",G192/F192))</x:f>
      </x:c>
      <x:c r="I192" t="str">
        <x:f>IF(OR(F192="",G192=""),"",F192-G192)</x:f>
      </x:c>
      <x:c r="J192" t="str">
        <x:f>IF(E192="","",IFERROR((I192/LOOKUP(2,1/($E$5:E191=E192),$I$5:I191))-1,""))</x:f>
      </x:c>
      <x:c r="K192" t="str">
        <x:f>IF(E192="","",IFERROR(IF(B192&lt;&gt;LOOKUP(2,1/($E$5:E191=E192),$B$5:B191),"Ranking change",""),""))</x:f>
      </x:c>
    </x:row>
    <x:row r="193">
      <x:c r="H193" t="str">
        <x:f>IF(OR(F193="",G193=""),"",IF(F193=0,"",G193/F193))</x:f>
      </x:c>
      <x:c r="I193" t="str">
        <x:f>IF(OR(F193="",G193=""),"",F193-G193)</x:f>
      </x:c>
      <x:c r="J193" t="str">
        <x:f>IF(E193="","",IFERROR((I193/LOOKUP(2,1/($E$5:E192=E193),$I$5:I192))-1,""))</x:f>
      </x:c>
      <x:c r="K193" t="str">
        <x:f>IF(E193="","",IFERROR(IF(B193&lt;&gt;LOOKUP(2,1/($E$5:E192=E193),$B$5:B192),"Ranking change",""),""))</x:f>
      </x:c>
    </x:row>
    <x:row r="194">
      <x:c r="H194" t="str">
        <x:f>IF(OR(F194="",G194=""),"",IF(F194=0,"",G194/F194))</x:f>
      </x:c>
      <x:c r="I194" t="str">
        <x:f>IF(OR(F194="",G194=""),"",F194-G194)</x:f>
      </x:c>
      <x:c r="J194" t="str">
        <x:f>IF(E194="","",IFERROR((I194/LOOKUP(2,1/($E$5:E193=E194),$I$5:I193))-1,""))</x:f>
      </x:c>
      <x:c r="K194" t="str">
        <x:f>IF(E194="","",IFERROR(IF(B194&lt;&gt;LOOKUP(2,1/($E$5:E193=E194),$B$5:B193),"Ranking change",""),""))</x:f>
      </x:c>
    </x:row>
    <x:row r="195">
      <x:c r="H195" t="str">
        <x:f>IF(OR(F195="",G195=""),"",IF(F195=0,"",G195/F195))</x:f>
      </x:c>
      <x:c r="I195" t="str">
        <x:f>IF(OR(F195="",G195=""),"",F195-G195)</x:f>
      </x:c>
      <x:c r="J195" t="str">
        <x:f>IF(E195="","",IFERROR((I195/LOOKUP(2,1/($E$5:E194=E195),$I$5:I194))-1,""))</x:f>
      </x:c>
      <x:c r="K195" t="str">
        <x:f>IF(E195="","",IFERROR(IF(B195&lt;&gt;LOOKUP(2,1/($E$5:E194=E195),$B$5:B194),"Ranking change",""),""))</x:f>
      </x:c>
    </x:row>
    <x:row r="196">
      <x:c r="H196" t="str">
        <x:f>IF(OR(F196="",G196=""),"",IF(F196=0,"",G196/F196))</x:f>
      </x:c>
      <x:c r="I196" t="str">
        <x:f>IF(OR(F196="",G196=""),"",F196-G196)</x:f>
      </x:c>
      <x:c r="J196" t="str">
        <x:f>IF(E196="","",IFERROR((I196/LOOKUP(2,1/($E$5:E195=E196),$I$5:I195))-1,""))</x:f>
      </x:c>
      <x:c r="K196" t="str">
        <x:f>IF(E196="","",IFERROR(IF(B196&lt;&gt;LOOKUP(2,1/($E$5:E195=E196),$B$5:B195),"Ranking change",""),""))</x:f>
      </x:c>
    </x:row>
    <x:row r="197">
      <x:c r="H197" t="str">
        <x:f>IF(OR(F197="",G197=""),"",IF(F197=0,"",G197/F197))</x:f>
      </x:c>
      <x:c r="I197" t="str">
        <x:f>IF(OR(F197="",G197=""),"",F197-G197)</x:f>
      </x:c>
      <x:c r="J197" t="str">
        <x:f>IF(E197="","",IFERROR((I197/LOOKUP(2,1/($E$5:E196=E197),$I$5:I196))-1,""))</x:f>
      </x:c>
      <x:c r="K197" t="str">
        <x:f>IF(E197="","",IFERROR(IF(B197&lt;&gt;LOOKUP(2,1/($E$5:E196=E197),$B$5:B196),"Ranking change",""),""))</x:f>
      </x:c>
    </x:row>
    <x:row r="198">
      <x:c r="H198" t="str">
        <x:f>IF(OR(F198="",G198=""),"",IF(F198=0,"",G198/F198))</x:f>
      </x:c>
      <x:c r="I198" t="str">
        <x:f>IF(OR(F198="",G198=""),"",F198-G198)</x:f>
      </x:c>
      <x:c r="J198" t="str">
        <x:f>IF(E198="","",IFERROR((I198/LOOKUP(2,1/($E$5:E197=E198),$I$5:I197))-1,""))</x:f>
      </x:c>
      <x:c r="K198" t="str">
        <x:f>IF(E198="","",IFERROR(IF(B198&lt;&gt;LOOKUP(2,1/($E$5:E197=E198),$B$5:B197),"Ranking change",""),""))</x:f>
      </x:c>
    </x:row>
    <x:row r="199">
      <x:c r="H199" t="str">
        <x:f>IF(OR(F199="",G199=""),"",IF(F199=0,"",G199/F199))</x:f>
      </x:c>
      <x:c r="I199" t="str">
        <x:f>IF(OR(F199="",G199=""),"",F199-G199)</x:f>
      </x:c>
      <x:c r="J199" t="str">
        <x:f>IF(E199="","",IFERROR((I199/LOOKUP(2,1/($E$5:E198=E199),$I$5:I198))-1,""))</x:f>
      </x:c>
      <x:c r="K199" t="str">
        <x:f>IF(E199="","",IFERROR(IF(B199&lt;&gt;LOOKUP(2,1/($E$5:E198=E199),$B$5:B198),"Ranking change",""),""))</x:f>
      </x:c>
    </x:row>
    <x:row r="200">
      <x:c r="H200" t="str">
        <x:f>IF(OR(F200="",G200=""),"",IF(F200=0,"",G200/F200))</x:f>
      </x:c>
      <x:c r="I200" t="str">
        <x:f>IF(OR(F200="",G200=""),"",F200-G200)</x:f>
      </x:c>
      <x:c r="J200" t="str">
        <x:f>IF(E200="","",IFERROR((I200/LOOKUP(2,1/($E$5:E199=E200),$I$5:I199))-1,""))</x:f>
      </x:c>
      <x:c r="K200" t="str">
        <x:f>IF(E200="","",IFERROR(IF(B200&lt;&gt;LOOKUP(2,1/($E$5:E199=E200),$B$5:B199),"Ranking change",""),""))</x:f>
      </x:c>
    </x:row>
    <x:row r="201">
      <x:c r="H201" t="str">
        <x:f>IF(OR(F201="",G201=""),"",IF(F201=0,"",G201/F201))</x:f>
      </x:c>
      <x:c r="I201" t="str">
        <x:f>IF(OR(F201="",G201=""),"",F201-G201)</x:f>
      </x:c>
      <x:c r="J201" t="str">
        <x:f>IF(E201="","",IFERROR((I201/LOOKUP(2,1/($E$5:E200=E201),$I$5:I200))-1,""))</x:f>
      </x:c>
      <x:c r="K201" t="str">
        <x:f>IF(E201="","",IFERROR(IF(B201&lt;&gt;LOOKUP(2,1/($E$5:E200=E201),$B$5:B200),"Ranking change",""),""))</x:f>
      </x:c>
    </x:row>
    <x:row r="202">
      <x:c r="H202" t="str">
        <x:f>IF(OR(F202="",G202=""),"",IF(F202=0,"",G202/F202))</x:f>
      </x:c>
      <x:c r="I202" t="str">
        <x:f>IF(OR(F202="",G202=""),"",F202-G202)</x:f>
      </x:c>
      <x:c r="J202" t="str">
        <x:f>IF(E202="","",IFERROR((I202/LOOKUP(2,1/($E$5:E201=E202),$I$5:I201))-1,""))</x:f>
      </x:c>
      <x:c r="K202" t="str">
        <x:f>IF(E202="","",IFERROR(IF(B202&lt;&gt;LOOKUP(2,1/($E$5:E201=E202),$B$5:B201),"Ranking change",""),""))</x:f>
      </x:c>
    </x:row>
    <x:row r="203">
      <x:c r="H203" t="str">
        <x:f>IF(OR(F203="",G203=""),"",IF(F203=0,"",G203/F203))</x:f>
      </x:c>
      <x:c r="I203" t="str">
        <x:f>IF(OR(F203="",G203=""),"",F203-G203)</x:f>
      </x:c>
      <x:c r="J203" t="str">
        <x:f>IF(E203="","",IFERROR((I203/LOOKUP(2,1/($E$5:E202=E203),$I$5:I202))-1,""))</x:f>
      </x:c>
      <x:c r="K203" t="str">
        <x:f>IF(E203="","",IFERROR(IF(B203&lt;&gt;LOOKUP(2,1/($E$5:E202=E203),$B$5:B202),"Ranking change",""),""))</x:f>
      </x:c>
    </x:row>
    <x:row r="204">
      <x:c r="H204" t="str">
        <x:f>IF(OR(F204="",G204=""),"",IF(F204=0,"",G204/F204))</x:f>
      </x:c>
      <x:c r="I204" t="str">
        <x:f>IF(OR(F204="",G204=""),"",F204-G204)</x:f>
      </x:c>
      <x:c r="J204" t="str">
        <x:f>IF(E204="","",IFERROR((I204/LOOKUP(2,1/($E$5:E203=E204),$I$5:I203))-1,""))</x:f>
      </x:c>
      <x:c r="K204" t="str">
        <x:f>IF(E204="","",IFERROR(IF(B204&lt;&gt;LOOKUP(2,1/($E$5:E203=E204),$B$5:B203),"Ranking change",""),""))</x:f>
      </x:c>
    </x:row>
    <x:row r="205">
      <x:c r="H205" t="str">
        <x:f>IF(OR(F205="",G205=""),"",IF(F205=0,"",G205/F205))</x:f>
      </x:c>
      <x:c r="I205" t="str">
        <x:f>IF(OR(F205="",G205=""),"",F205-G205)</x:f>
      </x:c>
      <x:c r="J205" t="str">
        <x:f>IF(E205="","",IFERROR((I205/LOOKUP(2,1/($E$5:E204=E205),$I$5:I204))-1,""))</x:f>
      </x:c>
      <x:c r="K205" t="str">
        <x:f>IF(E205="","",IFERROR(IF(B205&lt;&gt;LOOKUP(2,1/($E$5:E204=E205),$B$5:B204),"Ranking change",""),""))</x:f>
      </x:c>
    </x:row>
    <x:row r="206">
      <x:c r="H206" t="str">
        <x:f>IF(OR(F206="",G206=""),"",IF(F206=0,"",G206/F206))</x:f>
      </x:c>
      <x:c r="I206" t="str">
        <x:f>IF(OR(F206="",G206=""),"",F206-G206)</x:f>
      </x:c>
      <x:c r="J206" t="str">
        <x:f>IF(E206="","",IFERROR((I206/LOOKUP(2,1/($E$5:E205=E206),$I$5:I205))-1,""))</x:f>
      </x:c>
      <x:c r="K206" t="str">
        <x:f>IF(E206="","",IFERROR(IF(B206&lt;&gt;LOOKUP(2,1/($E$5:E205=E206),$B$5:B205),"Ranking change",""),""))</x:f>
      </x:c>
    </x:row>
    <x:row r="207">
      <x:c r="H207" t="str">
        <x:f>IF(OR(F207="",G207=""),"",IF(F207=0,"",G207/F207))</x:f>
      </x:c>
      <x:c r="I207" t="str">
        <x:f>IF(OR(F207="",G207=""),"",F207-G207)</x:f>
      </x:c>
      <x:c r="J207" t="str">
        <x:f>IF(E207="","",IFERROR((I207/LOOKUP(2,1/($E$5:E206=E207),$I$5:I206))-1,""))</x:f>
      </x:c>
      <x:c r="K207" t="str">
        <x:f>IF(E207="","",IFERROR(IF(B207&lt;&gt;LOOKUP(2,1/($E$5:E206=E207),$B$5:B206),"Ranking change",""),""))</x:f>
      </x:c>
    </x:row>
    <x:row r="208">
      <x:c r="H208" t="str">
        <x:f>IF(OR(F208="",G208=""),"",IF(F208=0,"",G208/F208))</x:f>
      </x:c>
      <x:c r="I208" t="str">
        <x:f>IF(OR(F208="",G208=""),"",F208-G208)</x:f>
      </x:c>
      <x:c r="J208" t="str">
        <x:f>IF(E208="","",IFERROR((I208/LOOKUP(2,1/($E$5:E207=E208),$I$5:I207))-1,""))</x:f>
      </x:c>
      <x:c r="K208" t="str">
        <x:f>IF(E208="","",IFERROR(IF(B208&lt;&gt;LOOKUP(2,1/($E$5:E207=E208),$B$5:B207),"Ranking change",""),""))</x:f>
      </x:c>
    </x:row>
    <x:row r="209">
      <x:c r="H209" t="str">
        <x:f>IF(OR(F209="",G209=""),"",IF(F209=0,"",G209/F209))</x:f>
      </x:c>
      <x:c r="I209" t="str">
        <x:f>IF(OR(F209="",G209=""),"",F209-G209)</x:f>
      </x:c>
      <x:c r="J209" t="str">
        <x:f>IF(E209="","",IFERROR((I209/LOOKUP(2,1/($E$5:E208=E209),$I$5:I208))-1,""))</x:f>
      </x:c>
      <x:c r="K209" t="str">
        <x:f>IF(E209="","",IFERROR(IF(B209&lt;&gt;LOOKUP(2,1/($E$5:E208=E209),$B$5:B208),"Ranking change",""),""))</x:f>
      </x:c>
    </x:row>
    <x:row r="210">
      <x:c r="H210" t="str">
        <x:f>IF(OR(F210="",G210=""),"",IF(F210=0,"",G210/F210))</x:f>
      </x:c>
      <x:c r="I210" t="str">
        <x:f>IF(OR(F210="",G210=""),"",F210-G210)</x:f>
      </x:c>
      <x:c r="J210" t="str">
        <x:f>IF(E210="","",IFERROR((I210/LOOKUP(2,1/($E$5:E209=E210),$I$5:I209))-1,""))</x:f>
      </x:c>
      <x:c r="K210" t="str">
        <x:f>IF(E210="","",IFERROR(IF(B210&lt;&gt;LOOKUP(2,1/($E$5:E209=E210),$B$5:B209),"Ranking change",""),""))</x:f>
      </x:c>
    </x:row>
    <x:row r="211">
      <x:c r="H211" t="str">
        <x:f>IF(OR(F211="",G211=""),"",IF(F211=0,"",G211/F211))</x:f>
      </x:c>
      <x:c r="I211" t="str">
        <x:f>IF(OR(F211="",G211=""),"",F211-G211)</x:f>
      </x:c>
      <x:c r="J211" t="str">
        <x:f>IF(E211="","",IFERROR((I211/LOOKUP(2,1/($E$5:E210=E211),$I$5:I210))-1,""))</x:f>
      </x:c>
      <x:c r="K211" t="str">
        <x:f>IF(E211="","",IFERROR(IF(B211&lt;&gt;LOOKUP(2,1/($E$5:E210=E211),$B$5:B210),"Ranking change",""),""))</x:f>
      </x:c>
    </x:row>
    <x:row r="212">
      <x:c r="H212" t="str">
        <x:f>IF(OR(F212="",G212=""),"",IF(F212=0,"",G212/F212))</x:f>
      </x:c>
      <x:c r="I212" t="str">
        <x:f>IF(OR(F212="",G212=""),"",F212-G212)</x:f>
      </x:c>
      <x:c r="J212" t="str">
        <x:f>IF(E212="","",IFERROR((I212/LOOKUP(2,1/($E$5:E211=E212),$I$5:I211))-1,""))</x:f>
      </x:c>
      <x:c r="K212" t="str">
        <x:f>IF(E212="","",IFERROR(IF(B212&lt;&gt;LOOKUP(2,1/($E$5:E211=E212),$B$5:B211),"Ranking change",""),""))</x:f>
      </x:c>
    </x:row>
    <x:row r="213">
      <x:c r="H213" t="str">
        <x:f>IF(OR(F213="",G213=""),"",IF(F213=0,"",G213/F213))</x:f>
      </x:c>
      <x:c r="I213" t="str">
        <x:f>IF(OR(F213="",G213=""),"",F213-G213)</x:f>
      </x:c>
      <x:c r="J213" t="str">
        <x:f>IF(E213="","",IFERROR((I213/LOOKUP(2,1/($E$5:E212=E213),$I$5:I212))-1,""))</x:f>
      </x:c>
      <x:c r="K213" t="str">
        <x:f>IF(E213="","",IFERROR(IF(B213&lt;&gt;LOOKUP(2,1/($E$5:E212=E213),$B$5:B212),"Ranking change",""),""))</x:f>
      </x:c>
    </x:row>
    <x:row r="214">
      <x:c r="H214" t="str">
        <x:f>IF(OR(F214="",G214=""),"",IF(F214=0,"",G214/F214))</x:f>
      </x:c>
      <x:c r="I214" t="str">
        <x:f>IF(OR(F214="",G214=""),"",F214-G214)</x:f>
      </x:c>
      <x:c r="J214" t="str">
        <x:f>IF(E214="","",IFERROR((I214/LOOKUP(2,1/($E$5:E213=E214),$I$5:I213))-1,""))</x:f>
      </x:c>
      <x:c r="K214" t="str">
        <x:f>IF(E214="","",IFERROR(IF(B214&lt;&gt;LOOKUP(2,1/($E$5:E213=E214),$B$5:B213),"Ranking change",""),""))</x:f>
      </x:c>
    </x:row>
    <x:row r="215">
      <x:c r="H215" t="str">
        <x:f>IF(OR(F215="",G215=""),"",IF(F215=0,"",G215/F215))</x:f>
      </x:c>
      <x:c r="I215" t="str">
        <x:f>IF(OR(F215="",G215=""),"",F215-G215)</x:f>
      </x:c>
      <x:c r="J215" t="str">
        <x:f>IF(E215="","",IFERROR((I215/LOOKUP(2,1/($E$5:E214=E215),$I$5:I214))-1,""))</x:f>
      </x:c>
      <x:c r="K215" t="str">
        <x:f>IF(E215="","",IFERROR(IF(B215&lt;&gt;LOOKUP(2,1/($E$5:E214=E215),$B$5:B214),"Ranking change",""),""))</x:f>
      </x:c>
    </x:row>
    <x:row r="216">
      <x:c r="H216" t="str">
        <x:f>IF(OR(F216="",G216=""),"",IF(F216=0,"",G216/F216))</x:f>
      </x:c>
      <x:c r="I216" t="str">
        <x:f>IF(OR(F216="",G216=""),"",F216-G216)</x:f>
      </x:c>
      <x:c r="J216" t="str">
        <x:f>IF(E216="","",IFERROR((I216/LOOKUP(2,1/($E$5:E215=E216),$I$5:I215))-1,""))</x:f>
      </x:c>
      <x:c r="K216" t="str">
        <x:f>IF(E216="","",IFERROR(IF(B216&lt;&gt;LOOKUP(2,1/($E$5:E215=E216),$B$5:B215),"Ranking change",""),""))</x:f>
      </x:c>
    </x:row>
    <x:row r="217">
      <x:c r="H217" t="str">
        <x:f>IF(OR(F217="",G217=""),"",IF(F217=0,"",G217/F217))</x:f>
      </x:c>
      <x:c r="I217" t="str">
        <x:f>IF(OR(F217="",G217=""),"",F217-G217)</x:f>
      </x:c>
      <x:c r="J217" t="str">
        <x:f>IF(E217="","",IFERROR((I217/LOOKUP(2,1/($E$5:E216=E217),$I$5:I216))-1,""))</x:f>
      </x:c>
      <x:c r="K217" t="str">
        <x:f>IF(E217="","",IFERROR(IF(B217&lt;&gt;LOOKUP(2,1/($E$5:E216=E217),$B$5:B216),"Ranking change",""),""))</x:f>
      </x:c>
    </x:row>
    <x:row r="218">
      <x:c r="H218" t="str">
        <x:f>IF(OR(F218="",G218=""),"",IF(F218=0,"",G218/F218))</x:f>
      </x:c>
      <x:c r="I218" t="str">
        <x:f>IF(OR(F218="",G218=""),"",F218-G218)</x:f>
      </x:c>
      <x:c r="J218" t="str">
        <x:f>IF(E218="","",IFERROR((I218/LOOKUP(2,1/($E$5:E217=E218),$I$5:I217))-1,""))</x:f>
      </x:c>
      <x:c r="K218" t="str">
        <x:f>IF(E218="","",IFERROR(IF(B218&lt;&gt;LOOKUP(2,1/($E$5:E217=E218),$B$5:B217),"Ranking change",""),""))</x:f>
      </x:c>
    </x:row>
    <x:row r="219">
      <x:c r="H219" t="str">
        <x:f>IF(OR(F219="",G219=""),"",IF(F219=0,"",G219/F219))</x:f>
      </x:c>
      <x:c r="I219" t="str">
        <x:f>IF(OR(F219="",G219=""),"",F219-G219)</x:f>
      </x:c>
      <x:c r="J219" t="str">
        <x:f>IF(E219="","",IFERROR((I219/LOOKUP(2,1/($E$5:E218=E219),$I$5:I218))-1,""))</x:f>
      </x:c>
      <x:c r="K219" t="str">
        <x:f>IF(E219="","",IFERROR(IF(B219&lt;&gt;LOOKUP(2,1/($E$5:E218=E219),$B$5:B218),"Ranking change",""),""))</x:f>
      </x:c>
    </x:row>
    <x:row r="220">
      <x:c r="H220" t="str">
        <x:f>IF(OR(F220="",G220=""),"",IF(F220=0,"",G220/F220))</x:f>
      </x:c>
      <x:c r="I220" t="str">
        <x:f>IF(OR(F220="",G220=""),"",F220-G220)</x:f>
      </x:c>
      <x:c r="J220" t="str">
        <x:f>IF(E220="","",IFERROR((I220/LOOKUP(2,1/($E$5:E219=E220),$I$5:I219))-1,""))</x:f>
      </x:c>
      <x:c r="K220" t="str">
        <x:f>IF(E220="","",IFERROR(IF(B220&lt;&gt;LOOKUP(2,1/($E$5:E219=E220),$B$5:B219),"Ranking change",""),""))</x:f>
      </x:c>
    </x:row>
    <x:row r="221">
      <x:c r="H221" t="str">
        <x:f>IF(OR(F221="",G221=""),"",IF(F221=0,"",G221/F221))</x:f>
      </x:c>
      <x:c r="I221" t="str">
        <x:f>IF(OR(F221="",G221=""),"",F221-G221)</x:f>
      </x:c>
      <x:c r="J221" t="str">
        <x:f>IF(E221="","",IFERROR((I221/LOOKUP(2,1/($E$5:E220=E221),$I$5:I220))-1,""))</x:f>
      </x:c>
      <x:c r="K221" t="str">
        <x:f>IF(E221="","",IFERROR(IF(B221&lt;&gt;LOOKUP(2,1/($E$5:E220=E221),$B$5:B220),"Ranking change",""),""))</x:f>
      </x:c>
    </x:row>
    <x:row r="222">
      <x:c r="H222" t="str">
        <x:f>IF(OR(F222="",G222=""),"",IF(F222=0,"",G222/F222))</x:f>
      </x:c>
      <x:c r="I222" t="str">
        <x:f>IF(OR(F222="",G222=""),"",F222-G222)</x:f>
      </x:c>
      <x:c r="J222" t="str">
        <x:f>IF(E222="","",IFERROR((I222/LOOKUP(2,1/($E$5:E221=E222),$I$5:I221))-1,""))</x:f>
      </x:c>
      <x:c r="K222" t="str">
        <x:f>IF(E222="","",IFERROR(IF(B222&lt;&gt;LOOKUP(2,1/($E$5:E221=E222),$B$5:B221),"Ranking change",""),""))</x:f>
      </x:c>
    </x:row>
    <x:row r="223">
      <x:c r="H223" t="str">
        <x:f>IF(OR(F223="",G223=""),"",IF(F223=0,"",G223/F223))</x:f>
      </x:c>
      <x:c r="I223" t="str">
        <x:f>IF(OR(F223="",G223=""),"",F223-G223)</x:f>
      </x:c>
      <x:c r="J223" t="str">
        <x:f>IF(E223="","",IFERROR((I223/LOOKUP(2,1/($E$5:E222=E223),$I$5:I222))-1,""))</x:f>
      </x:c>
      <x:c r="K223" t="str">
        <x:f>IF(E223="","",IFERROR(IF(B223&lt;&gt;LOOKUP(2,1/($E$5:E222=E223),$B$5:B222),"Ranking change",""),""))</x:f>
      </x:c>
    </x:row>
    <x:row r="224">
      <x:c r="H224" t="str">
        <x:f>IF(OR(F224="",G224=""),"",IF(F224=0,"",G224/F224))</x:f>
      </x:c>
      <x:c r="I224" t="str">
        <x:f>IF(OR(F224="",G224=""),"",F224-G224)</x:f>
      </x:c>
      <x:c r="J224" t="str">
        <x:f>IF(E224="","",IFERROR((I224/LOOKUP(2,1/($E$5:E223=E224),$I$5:I223))-1,""))</x:f>
      </x:c>
      <x:c r="K224" t="str">
        <x:f>IF(E224="","",IFERROR(IF(B224&lt;&gt;LOOKUP(2,1/($E$5:E223=E224),$B$5:B223),"Ranking change",""),""))</x:f>
      </x:c>
    </x:row>
    <x:row r="225">
      <x:c r="H225" t="str">
        <x:f>IF(OR(F225="",G225=""),"",IF(F225=0,"",G225/F225))</x:f>
      </x:c>
      <x:c r="I225" t="str">
        <x:f>IF(OR(F225="",G225=""),"",F225-G225)</x:f>
      </x:c>
      <x:c r="J225" t="str">
        <x:f>IF(E225="","",IFERROR((I225/LOOKUP(2,1/($E$5:E224=E225),$I$5:I224))-1,""))</x:f>
      </x:c>
      <x:c r="K225" t="str">
        <x:f>IF(E225="","",IFERROR(IF(B225&lt;&gt;LOOKUP(2,1/($E$5:E224=E225),$B$5:B224),"Ranking change",""),""))</x:f>
      </x:c>
    </x:row>
    <x:row r="226">
      <x:c r="H226" t="str">
        <x:f>IF(OR(F226="",G226=""),"",IF(F226=0,"",G226/F226))</x:f>
      </x:c>
      <x:c r="I226" t="str">
        <x:f>IF(OR(F226="",G226=""),"",F226-G226)</x:f>
      </x:c>
      <x:c r="J226" t="str">
        <x:f>IF(E226="","",IFERROR((I226/LOOKUP(2,1/($E$5:E225=E226),$I$5:I225))-1,""))</x:f>
      </x:c>
      <x:c r="K226" t="str">
        <x:f>IF(E226="","",IFERROR(IF(B226&lt;&gt;LOOKUP(2,1/($E$5:E225=E226),$B$5:B225),"Ranking change",""),""))</x:f>
      </x:c>
    </x:row>
    <x:row r="227">
      <x:c r="H227" t="str">
        <x:f>IF(OR(F227="",G227=""),"",IF(F227=0,"",G227/F227))</x:f>
      </x:c>
      <x:c r="I227" t="str">
        <x:f>IF(OR(F227="",G227=""),"",F227-G227)</x:f>
      </x:c>
      <x:c r="J227" t="str">
        <x:f>IF(E227="","",IFERROR((I227/LOOKUP(2,1/($E$5:E226=E227),$I$5:I226))-1,""))</x:f>
      </x:c>
      <x:c r="K227" t="str">
        <x:f>IF(E227="","",IFERROR(IF(B227&lt;&gt;LOOKUP(2,1/($E$5:E226=E227),$B$5:B226),"Ranking change",""),""))</x:f>
      </x:c>
    </x:row>
    <x:row r="228">
      <x:c r="H228" t="str">
        <x:f>IF(OR(F228="",G228=""),"",IF(F228=0,"",G228/F228))</x:f>
      </x:c>
      <x:c r="I228" t="str">
        <x:f>IF(OR(F228="",G228=""),"",F228-G228)</x:f>
      </x:c>
      <x:c r="J228" t="str">
        <x:f>IF(E228="","",IFERROR((I228/LOOKUP(2,1/($E$5:E227=E228),$I$5:I227))-1,""))</x:f>
      </x:c>
      <x:c r="K228" t="str">
        <x:f>IF(E228="","",IFERROR(IF(B228&lt;&gt;LOOKUP(2,1/($E$5:E227=E228),$B$5:B227),"Ranking change",""),""))</x:f>
      </x:c>
    </x:row>
    <x:row r="229">
      <x:c r="H229" t="str">
        <x:f>IF(OR(F229="",G229=""),"",IF(F229=0,"",G229/F229))</x:f>
      </x:c>
      <x:c r="I229" t="str">
        <x:f>IF(OR(F229="",G229=""),"",F229-G229)</x:f>
      </x:c>
      <x:c r="J229" t="str">
        <x:f>IF(E229="","",IFERROR((I229/LOOKUP(2,1/($E$5:E228=E229),$I$5:I228))-1,""))</x:f>
      </x:c>
      <x:c r="K229" t="str">
        <x:f>IF(E229="","",IFERROR(IF(B229&lt;&gt;LOOKUP(2,1/($E$5:E228=E229),$B$5:B228),"Ranking change",""),""))</x:f>
      </x:c>
    </x:row>
    <x:row r="230">
      <x:c r="H230" t="str">
        <x:f>IF(OR(F230="",G230=""),"",IF(F230=0,"",G230/F230))</x:f>
      </x:c>
      <x:c r="I230" t="str">
        <x:f>IF(OR(F230="",G230=""),"",F230-G230)</x:f>
      </x:c>
      <x:c r="J230" t="str">
        <x:f>IF(E230="","",IFERROR((I230/LOOKUP(2,1/($E$5:E229=E230),$I$5:I229))-1,""))</x:f>
      </x:c>
      <x:c r="K230" t="str">
        <x:f>IF(E230="","",IFERROR(IF(B230&lt;&gt;LOOKUP(2,1/($E$5:E229=E230),$B$5:B229),"Ranking change",""),""))</x:f>
      </x:c>
    </x:row>
    <x:row r="231">
      <x:c r="H231" t="str">
        <x:f>IF(OR(F231="",G231=""),"",IF(F231=0,"",G231/F231))</x:f>
      </x:c>
      <x:c r="I231" t="str">
        <x:f>IF(OR(F231="",G231=""),"",F231-G231)</x:f>
      </x:c>
      <x:c r="J231" t="str">
        <x:f>IF(E231="","",IFERROR((I231/LOOKUP(2,1/($E$5:E230=E231),$I$5:I230))-1,""))</x:f>
      </x:c>
      <x:c r="K231" t="str">
        <x:f>IF(E231="","",IFERROR(IF(B231&lt;&gt;LOOKUP(2,1/($E$5:E230=E231),$B$5:B230),"Ranking change",""),""))</x:f>
      </x:c>
    </x:row>
    <x:row r="232">
      <x:c r="H232" t="str">
        <x:f>IF(OR(F232="",G232=""),"",IF(F232=0,"",G232/F232))</x:f>
      </x:c>
      <x:c r="I232" t="str">
        <x:f>IF(OR(F232="",G232=""),"",F232-G232)</x:f>
      </x:c>
      <x:c r="J232" t="str">
        <x:f>IF(E232="","",IFERROR((I232/LOOKUP(2,1/($E$5:E231=E232),$I$5:I231))-1,""))</x:f>
      </x:c>
      <x:c r="K232" t="str">
        <x:f>IF(E232="","",IFERROR(IF(B232&lt;&gt;LOOKUP(2,1/($E$5:E231=E232),$B$5:B231),"Ranking change",""),""))</x:f>
      </x:c>
    </x:row>
    <x:row r="233">
      <x:c r="H233" t="str">
        <x:f>IF(OR(F233="",G233=""),"",IF(F233=0,"",G233/F233))</x:f>
      </x:c>
      <x:c r="I233" t="str">
        <x:f>IF(OR(F233="",G233=""),"",F233-G233)</x:f>
      </x:c>
      <x:c r="J233" t="str">
        <x:f>IF(E233="","",IFERROR((I233/LOOKUP(2,1/($E$5:E232=E233),$I$5:I232))-1,""))</x:f>
      </x:c>
      <x:c r="K233" t="str">
        <x:f>IF(E233="","",IFERROR(IF(B233&lt;&gt;LOOKUP(2,1/($E$5:E232=E233),$B$5:B232),"Ranking change",""),""))</x:f>
      </x:c>
    </x:row>
    <x:row r="234">
      <x:c r="H234" t="str">
        <x:f>IF(OR(F234="",G234=""),"",IF(F234=0,"",G234/F234))</x:f>
      </x:c>
      <x:c r="I234" t="str">
        <x:f>IF(OR(F234="",G234=""),"",F234-G234)</x:f>
      </x:c>
      <x:c r="J234" t="str">
        <x:f>IF(E234="","",IFERROR((I234/LOOKUP(2,1/($E$5:E233=E234),$I$5:I233))-1,""))</x:f>
      </x:c>
      <x:c r="K234" t="str">
        <x:f>IF(E234="","",IFERROR(IF(B234&lt;&gt;LOOKUP(2,1/($E$5:E233=E234),$B$5:B233),"Ranking change",""),""))</x:f>
      </x:c>
    </x:row>
    <x:row r="235">
      <x:c r="H235" t="str">
        <x:f>IF(OR(F235="",G235=""),"",IF(F235=0,"",G235/F235))</x:f>
      </x:c>
      <x:c r="I235" t="str">
        <x:f>IF(OR(F235="",G235=""),"",F235-G235)</x:f>
      </x:c>
      <x:c r="J235" t="str">
        <x:f>IF(E235="","",IFERROR((I235/LOOKUP(2,1/($E$5:E234=E235),$I$5:I234))-1,""))</x:f>
      </x:c>
      <x:c r="K235" t="str">
        <x:f>IF(E235="","",IFERROR(IF(B235&lt;&gt;LOOKUP(2,1/($E$5:E234=E235),$B$5:B234),"Ranking change",""),""))</x:f>
      </x:c>
    </x:row>
    <x:row r="236">
      <x:c r="H236" t="str">
        <x:f>IF(OR(F236="",G236=""),"",IF(F236=0,"",G236/F236))</x:f>
      </x:c>
      <x:c r="I236" t="str">
        <x:f>IF(OR(F236="",G236=""),"",F236-G236)</x:f>
      </x:c>
      <x:c r="J236" t="str">
        <x:f>IF(E236="","",IFERROR((I236/LOOKUP(2,1/($E$5:E235=E236),$I$5:I235))-1,""))</x:f>
      </x:c>
      <x:c r="K236" t="str">
        <x:f>IF(E236="","",IFERROR(IF(B236&lt;&gt;LOOKUP(2,1/($E$5:E235=E236),$B$5:B235),"Ranking change",""),""))</x:f>
      </x:c>
    </x:row>
    <x:row r="237">
      <x:c r="H237" t="str">
        <x:f>IF(OR(F237="",G237=""),"",IF(F237=0,"",G237/F237))</x:f>
      </x:c>
      <x:c r="I237" t="str">
        <x:f>IF(OR(F237="",G237=""),"",F237-G237)</x:f>
      </x:c>
      <x:c r="J237" t="str">
        <x:f>IF(E237="","",IFERROR((I237/LOOKUP(2,1/($E$5:E236=E237),$I$5:I236))-1,""))</x:f>
      </x:c>
      <x:c r="K237" t="str">
        <x:f>IF(E237="","",IFERROR(IF(B237&lt;&gt;LOOKUP(2,1/($E$5:E236=E237),$B$5:B236),"Ranking change",""),""))</x:f>
      </x:c>
    </x:row>
    <x:row r="238">
      <x:c r="H238" t="str">
        <x:f>IF(OR(F238="",G238=""),"",IF(F238=0,"",G238/F238))</x:f>
      </x:c>
      <x:c r="I238" t="str">
        <x:f>IF(OR(F238="",G238=""),"",F238-G238)</x:f>
      </x:c>
      <x:c r="J238" t="str">
        <x:f>IF(E238="","",IFERROR((I238/LOOKUP(2,1/($E$5:E237=E238),$I$5:I237))-1,""))</x:f>
      </x:c>
      <x:c r="K238" t="str">
        <x:f>IF(E238="","",IFERROR(IF(B238&lt;&gt;LOOKUP(2,1/($E$5:E237=E238),$B$5:B237),"Ranking change",""),""))</x:f>
      </x:c>
    </x:row>
    <x:row r="239">
      <x:c r="H239" t="str">
        <x:f>IF(OR(F239="",G239=""),"",IF(F239=0,"",G239/F239))</x:f>
      </x:c>
      <x:c r="I239" t="str">
        <x:f>IF(OR(F239="",G239=""),"",F239-G239)</x:f>
      </x:c>
      <x:c r="J239" t="str">
        <x:f>IF(E239="","",IFERROR((I239/LOOKUP(2,1/($E$5:E238=E239),$I$5:I238))-1,""))</x:f>
      </x:c>
      <x:c r="K239" t="str">
        <x:f>IF(E239="","",IFERROR(IF(B239&lt;&gt;LOOKUP(2,1/($E$5:E238=E239),$B$5:B238),"Ranking change",""),""))</x:f>
      </x:c>
    </x:row>
    <x:row r="240">
      <x:c r="H240" t="str">
        <x:f>IF(OR(F240="",G240=""),"",IF(F240=0,"",G240/F240))</x:f>
      </x:c>
      <x:c r="I240" t="str">
        <x:f>IF(OR(F240="",G240=""),"",F240-G240)</x:f>
      </x:c>
      <x:c r="J240" t="str">
        <x:f>IF(E240="","",IFERROR((I240/LOOKUP(2,1/($E$5:E239=E240),$I$5:I239))-1,""))</x:f>
      </x:c>
      <x:c r="K240" t="str">
        <x:f>IF(E240="","",IFERROR(IF(B240&lt;&gt;LOOKUP(2,1/($E$5:E239=E240),$B$5:B239),"Ranking change",""),""))</x:f>
      </x:c>
    </x:row>
    <x:row r="241">
      <x:c r="H241" t="str">
        <x:f>IF(OR(F241="",G241=""),"",IF(F241=0,"",G241/F241))</x:f>
      </x:c>
      <x:c r="I241" t="str">
        <x:f>IF(OR(F241="",G241=""),"",F241-G241)</x:f>
      </x:c>
      <x:c r="J241" t="str">
        <x:f>IF(E241="","",IFERROR((I241/LOOKUP(2,1/($E$5:E240=E241),$I$5:I240))-1,""))</x:f>
      </x:c>
      <x:c r="K241" t="str">
        <x:f>IF(E241="","",IFERROR(IF(B241&lt;&gt;LOOKUP(2,1/($E$5:E240=E241),$B$5:B240),"Ranking change",""),""))</x:f>
      </x:c>
    </x:row>
    <x:row r="242">
      <x:c r="H242" t="str">
        <x:f>IF(OR(F242="",G242=""),"",IF(F242=0,"",G242/F242))</x:f>
      </x:c>
      <x:c r="I242" t="str">
        <x:f>IF(OR(F242="",G242=""),"",F242-G242)</x:f>
      </x:c>
      <x:c r="J242" t="str">
        <x:f>IF(E242="","",IFERROR((I242/LOOKUP(2,1/($E$5:E241=E242),$I$5:I241))-1,""))</x:f>
      </x:c>
      <x:c r="K242" t="str">
        <x:f>IF(E242="","",IFERROR(IF(B242&lt;&gt;LOOKUP(2,1/($E$5:E241=E242),$B$5:B241),"Ranking change",""),""))</x:f>
      </x:c>
    </x:row>
    <x:row r="243">
      <x:c r="H243" t="str">
        <x:f>IF(OR(F243="",G243=""),"",IF(F243=0,"",G243/F243))</x:f>
      </x:c>
      <x:c r="I243" t="str">
        <x:f>IF(OR(F243="",G243=""),"",F243-G243)</x:f>
      </x:c>
      <x:c r="J243" t="str">
        <x:f>IF(E243="","",IFERROR((I243/LOOKUP(2,1/($E$5:E242=E243),$I$5:I242))-1,""))</x:f>
      </x:c>
      <x:c r="K243" t="str">
        <x:f>IF(E243="","",IFERROR(IF(B243&lt;&gt;LOOKUP(2,1/($E$5:E242=E243),$B$5:B242),"Ranking change",""),""))</x:f>
      </x:c>
    </x:row>
    <x:row r="244">
      <x:c r="H244" t="str">
        <x:f>IF(OR(F244="",G244=""),"",IF(F244=0,"",G244/F244))</x:f>
      </x:c>
      <x:c r="I244" t="str">
        <x:f>IF(OR(F244="",G244=""),"",F244-G244)</x:f>
      </x:c>
      <x:c r="J244" t="str">
        <x:f>IF(E244="","",IFERROR((I244/LOOKUP(2,1/($E$5:E243=E244),$I$5:I243))-1,""))</x:f>
      </x:c>
      <x:c r="K244" t="str">
        <x:f>IF(E244="","",IFERROR(IF(B244&lt;&gt;LOOKUP(2,1/($E$5:E243=E244),$B$5:B243),"Ranking change",""),""))</x:f>
      </x:c>
    </x:row>
    <x:row r="245">
      <x:c r="H245" t="str">
        <x:f>IF(OR(F245="",G245=""),"",IF(F245=0,"",G245/F245))</x:f>
      </x:c>
      <x:c r="I245" t="str">
        <x:f>IF(OR(F245="",G245=""),"",F245-G245)</x:f>
      </x:c>
      <x:c r="J245" t="str">
        <x:f>IF(E245="","",IFERROR((I245/LOOKUP(2,1/($E$5:E244=E245),$I$5:I244))-1,""))</x:f>
      </x:c>
      <x:c r="K245" t="str">
        <x:f>IF(E245="","",IFERROR(IF(B245&lt;&gt;LOOKUP(2,1/($E$5:E244=E245),$B$5:B244),"Ranking change",""),""))</x:f>
      </x:c>
    </x:row>
    <x:row r="246">
      <x:c r="H246" t="str">
        <x:f>IF(OR(F246="",G246=""),"",IF(F246=0,"",G246/F246))</x:f>
      </x:c>
      <x:c r="I246" t="str">
        <x:f>IF(OR(F246="",G246=""),"",F246-G246)</x:f>
      </x:c>
      <x:c r="J246" t="str">
        <x:f>IF(E246="","",IFERROR((I246/LOOKUP(2,1/($E$5:E245=E246),$I$5:I245))-1,""))</x:f>
      </x:c>
      <x:c r="K246" t="str">
        <x:f>IF(E246="","",IFERROR(IF(B246&lt;&gt;LOOKUP(2,1/($E$5:E245=E246),$B$5:B245),"Ranking change",""),""))</x:f>
      </x:c>
    </x:row>
    <x:row r="247">
      <x:c r="H247" t="str">
        <x:f>IF(OR(F247="",G247=""),"",IF(F247=0,"",G247/F247))</x:f>
      </x:c>
      <x:c r="I247" t="str">
        <x:f>IF(OR(F247="",G247=""),"",F247-G247)</x:f>
      </x:c>
      <x:c r="J247" t="str">
        <x:f>IF(E247="","",IFERROR((I247/LOOKUP(2,1/($E$5:E246=E247),$I$5:I246))-1,""))</x:f>
      </x:c>
      <x:c r="K247" t="str">
        <x:f>IF(E247="","",IFERROR(IF(B247&lt;&gt;LOOKUP(2,1/($E$5:E246=E247),$B$5:B246),"Ranking change",""),""))</x:f>
      </x:c>
    </x:row>
    <x:row r="248">
      <x:c r="H248" t="str">
        <x:f>IF(OR(F248="",G248=""),"",IF(F248=0,"",G248/F248))</x:f>
      </x:c>
      <x:c r="I248" t="str">
        <x:f>IF(OR(F248="",G248=""),"",F248-G248)</x:f>
      </x:c>
      <x:c r="J248" t="str">
        <x:f>IF(E248="","",IFERROR((I248/LOOKUP(2,1/($E$5:E247=E248),$I$5:I247))-1,""))</x:f>
      </x:c>
      <x:c r="K248" t="str">
        <x:f>IF(E248="","",IFERROR(IF(B248&lt;&gt;LOOKUP(2,1/($E$5:E247=E248),$B$5:B247),"Ranking change",""),""))</x:f>
      </x:c>
    </x:row>
    <x:row r="249">
      <x:c r="H249" t="str">
        <x:f>IF(OR(F249="",G249=""),"",IF(F249=0,"",G249/F249))</x:f>
      </x:c>
      <x:c r="I249" t="str">
        <x:f>IF(OR(F249="",G249=""),"",F249-G249)</x:f>
      </x:c>
      <x:c r="J249" t="str">
        <x:f>IF(E249="","",IFERROR((I249/LOOKUP(2,1/($E$5:E248=E249),$I$5:I248))-1,""))</x:f>
      </x:c>
      <x:c r="K249" t="str">
        <x:f>IF(E249="","",IFERROR(IF(B249&lt;&gt;LOOKUP(2,1/($E$5:E248=E249),$B$5:B248),"Ranking change",""),""))</x:f>
      </x:c>
    </x:row>
    <x:row r="250">
      <x:c r="H250" t="str">
        <x:f>IF(OR(F250="",G250=""),"",IF(F250=0,"",G250/F250))</x:f>
      </x:c>
      <x:c r="I250" t="str">
        <x:f>IF(OR(F250="",G250=""),"",F250-G250)</x:f>
      </x:c>
      <x:c r="J250" t="str">
        <x:f>IF(E250="","",IFERROR((I250/LOOKUP(2,1/($E$5:E249=E250),$I$5:I249))-1,""))</x:f>
      </x:c>
      <x:c r="K250" t="str">
        <x:f>IF(E250="","",IFERROR(IF(B250&lt;&gt;LOOKUP(2,1/($E$5:E249=E250),$B$5:B249),"Ranking change",""),""))</x:f>
      </x:c>
    </x:row>
    <x:row r="251">
      <x:c r="H251" t="str">
        <x:f>IF(OR(F251="",G251=""),"",IF(F251=0,"",G251/F251))</x:f>
      </x:c>
      <x:c r="I251" t="str">
        <x:f>IF(OR(F251="",G251=""),"",F251-G251)</x:f>
      </x:c>
      <x:c r="J251" t="str">
        <x:f>IF(E251="","",IFERROR((I251/LOOKUP(2,1/($E$5:E250=E251),$I$5:I250))-1,""))</x:f>
      </x:c>
      <x:c r="K251" t="str">
        <x:f>IF(E251="","",IFERROR(IF(B251&lt;&gt;LOOKUP(2,1/($E$5:E250=E251),$B$5:B250),"Ranking change",""),""))</x:f>
      </x:c>
    </x:row>
    <x:row r="252">
      <x:c r="H252" t="str">
        <x:f>IF(OR(F252="",G252=""),"",IF(F252=0,"",G252/F252))</x:f>
      </x:c>
      <x:c r="I252" t="str">
        <x:f>IF(OR(F252="",G252=""),"",F252-G252)</x:f>
      </x:c>
      <x:c r="J252" t="str">
        <x:f>IF(E252="","",IFERROR((I252/LOOKUP(2,1/($E$5:E251=E252),$I$5:I251))-1,""))</x:f>
      </x:c>
      <x:c r="K252" t="str">
        <x:f>IF(E252="","",IFERROR(IF(B252&lt;&gt;LOOKUP(2,1/($E$5:E251=E252),$B$5:B251),"Ranking change",""),""))</x:f>
      </x:c>
    </x:row>
    <x:row r="253">
      <x:c r="H253" t="str">
        <x:f>IF(OR(F253="",G253=""),"",IF(F253=0,"",G253/F253))</x:f>
      </x:c>
      <x:c r="I253" t="str">
        <x:f>IF(OR(F253="",G253=""),"",F253-G253)</x:f>
      </x:c>
      <x:c r="J253" t="str">
        <x:f>IF(E253="","",IFERROR((I253/LOOKUP(2,1/($E$5:E252=E253),$I$5:I252))-1,""))</x:f>
      </x:c>
      <x:c r="K253" t="str">
        <x:f>IF(E253="","",IFERROR(IF(B253&lt;&gt;LOOKUP(2,1/($E$5:E252=E253),$B$5:B252),"Ranking change",""),""))</x:f>
      </x:c>
    </x:row>
    <x:row r="254">
      <x:c r="H254" t="str">
        <x:f>IF(OR(F254="",G254=""),"",IF(F254=0,"",G254/F254))</x:f>
      </x:c>
      <x:c r="I254" t="str">
        <x:f>IF(OR(F254="",G254=""),"",F254-G254)</x:f>
      </x:c>
      <x:c r="J254" t="str">
        <x:f>IF(E254="","",IFERROR((I254/LOOKUP(2,1/($E$5:E253=E254),$I$5:I253))-1,""))</x:f>
      </x:c>
      <x:c r="K254" t="str">
        <x:f>IF(E254="","",IFERROR(IF(B254&lt;&gt;LOOKUP(2,1/($E$5:E253=E254),$B$5:B253),"Ranking change",""),""))</x:f>
      </x:c>
    </x:row>
    <x:row r="255">
      <x:c r="H255" t="str">
        <x:f>IF(OR(F255="",G255=""),"",IF(F255=0,"",G255/F255))</x:f>
      </x:c>
      <x:c r="I255" t="str">
        <x:f>IF(OR(F255="",G255=""),"",F255-G255)</x:f>
      </x:c>
      <x:c r="J255" t="str">
        <x:f>IF(E255="","",IFERROR((I255/LOOKUP(2,1/($E$5:E254=E255),$I$5:I254))-1,""))</x:f>
      </x:c>
      <x:c r="K255" t="str">
        <x:f>IF(E255="","",IFERROR(IF(B255&lt;&gt;LOOKUP(2,1/($E$5:E254=E255),$B$5:B254),"Ranking change",""),""))</x:f>
      </x:c>
    </x:row>
    <x:row r="256">
      <x:c r="H256" t="str">
        <x:f>IF(OR(F256="",G256=""),"",IF(F256=0,"",G256/F256))</x:f>
      </x:c>
      <x:c r="I256" t="str">
        <x:f>IF(OR(F256="",G256=""),"",F256-G256)</x:f>
      </x:c>
      <x:c r="J256" t="str">
        <x:f>IF(E256="","",IFERROR((I256/LOOKUP(2,1/($E$5:E255=E256),$I$5:I255))-1,""))</x:f>
      </x:c>
      <x:c r="K256" t="str">
        <x:f>IF(E256="","",IFERROR(IF(B256&lt;&gt;LOOKUP(2,1/($E$5:E255=E256),$B$5:B255),"Ranking change",""),""))</x:f>
      </x:c>
    </x:row>
    <x:row r="257">
      <x:c r="H257" t="str">
        <x:f>IF(OR(F257="",G257=""),"",IF(F257=0,"",G257/F257))</x:f>
      </x:c>
      <x:c r="I257" t="str">
        <x:f>IF(OR(F257="",G257=""),"",F257-G257)</x:f>
      </x:c>
      <x:c r="J257" t="str">
        <x:f>IF(E257="","",IFERROR((I257/LOOKUP(2,1/($E$5:E256=E257),$I$5:I256))-1,""))</x:f>
      </x:c>
      <x:c r="K257" t="str">
        <x:f>IF(E257="","",IFERROR(IF(B257&lt;&gt;LOOKUP(2,1/($E$5:E256=E257),$B$5:B256),"Ranking change",""),""))</x:f>
      </x:c>
    </x:row>
    <x:row r="258">
      <x:c r="H258" t="str">
        <x:f>IF(OR(F258="",G258=""),"",IF(F258=0,"",G258/F258))</x:f>
      </x:c>
      <x:c r="I258" t="str">
        <x:f>IF(OR(F258="",G258=""),"",F258-G258)</x:f>
      </x:c>
      <x:c r="J258" t="str">
        <x:f>IF(E258="","",IFERROR((I258/LOOKUP(2,1/($E$5:E257=E258),$I$5:I257))-1,""))</x:f>
      </x:c>
      <x:c r="K258" t="str">
        <x:f>IF(E258="","",IFERROR(IF(B258&lt;&gt;LOOKUP(2,1/($E$5:E257=E258),$B$5:B257),"Ranking change",""),""))</x:f>
      </x:c>
    </x:row>
    <x:row r="259">
      <x:c r="H259" t="str">
        <x:f>IF(OR(F259="",G259=""),"",IF(F259=0,"",G259/F259))</x:f>
      </x:c>
      <x:c r="I259" t="str">
        <x:f>IF(OR(F259="",G259=""),"",F259-G259)</x:f>
      </x:c>
      <x:c r="J259" t="str">
        <x:f>IF(E259="","",IFERROR((I259/LOOKUP(2,1/($E$5:E258=E259),$I$5:I258))-1,""))</x:f>
      </x:c>
      <x:c r="K259" t="str">
        <x:f>IF(E259="","",IFERROR(IF(B259&lt;&gt;LOOKUP(2,1/($E$5:E258=E259),$B$5:B258),"Ranking change",""),""))</x:f>
      </x:c>
    </x:row>
    <x:row r="260">
      <x:c r="H260" t="str">
        <x:f>IF(OR(F260="",G260=""),"",IF(F260=0,"",G260/F260))</x:f>
      </x:c>
      <x:c r="I260" t="str">
        <x:f>IF(OR(F260="",G260=""),"",F260-G260)</x:f>
      </x:c>
      <x:c r="J260" t="str">
        <x:f>IF(E260="","",IFERROR((I260/LOOKUP(2,1/($E$5:E259=E260),$I$5:I259))-1,""))</x:f>
      </x:c>
      <x:c r="K260" t="str">
        <x:f>IF(E260="","",IFERROR(IF(B260&lt;&gt;LOOKUP(2,1/($E$5:E259=E260),$B$5:B259),"Ranking change",""),""))</x:f>
      </x:c>
    </x:row>
    <x:row r="261">
      <x:c r="H261" t="str">
        <x:f>IF(OR(F261="",G261=""),"",IF(F261=0,"",G261/F261))</x:f>
      </x:c>
      <x:c r="I261" t="str">
        <x:f>IF(OR(F261="",G261=""),"",F261-G261)</x:f>
      </x:c>
      <x:c r="J261" t="str">
        <x:f>IF(E261="","",IFERROR((I261/LOOKUP(2,1/($E$5:E260=E261),$I$5:I260))-1,""))</x:f>
      </x:c>
      <x:c r="K261" t="str">
        <x:f>IF(E261="","",IFERROR(IF(B261&lt;&gt;LOOKUP(2,1/($E$5:E260=E261),$B$5:B260),"Ranking change",""),""))</x:f>
      </x:c>
    </x:row>
    <x:row r="262">
      <x:c r="H262" t="str">
        <x:f>IF(OR(F262="",G262=""),"",IF(F262=0,"",G262/F262))</x:f>
      </x:c>
      <x:c r="I262" t="str">
        <x:f>IF(OR(F262="",G262=""),"",F262-G262)</x:f>
      </x:c>
      <x:c r="J262" t="str">
        <x:f>IF(E262="","",IFERROR((I262/LOOKUP(2,1/($E$5:E261=E262),$I$5:I261))-1,""))</x:f>
      </x:c>
      <x:c r="K262" t="str">
        <x:f>IF(E262="","",IFERROR(IF(B262&lt;&gt;LOOKUP(2,1/($E$5:E261=E262),$B$5:B261),"Ranking change",""),""))</x:f>
      </x:c>
    </x:row>
    <x:row r="263">
      <x:c r="H263" t="str">
        <x:f>IF(OR(F263="",G263=""),"",IF(F263=0,"",G263/F263))</x:f>
      </x:c>
      <x:c r="I263" t="str">
        <x:f>IF(OR(F263="",G263=""),"",F263-G263)</x:f>
      </x:c>
      <x:c r="J263" t="str">
        <x:f>IF(E263="","",IFERROR((I263/LOOKUP(2,1/($E$5:E262=E263),$I$5:I262))-1,""))</x:f>
      </x:c>
      <x:c r="K263" t="str">
        <x:f>IF(E263="","",IFERROR(IF(B263&lt;&gt;LOOKUP(2,1/($E$5:E262=E263),$B$5:B262),"Ranking change",""),""))</x:f>
      </x:c>
    </x:row>
    <x:row r="264">
      <x:c r="H264" t="str">
        <x:f>IF(OR(F264="",G264=""),"",IF(F264=0,"",G264/F264))</x:f>
      </x:c>
      <x:c r="I264" t="str">
        <x:f>IF(OR(F264="",G264=""),"",F264-G264)</x:f>
      </x:c>
      <x:c r="J264" t="str">
        <x:f>IF(E264="","",IFERROR((I264/LOOKUP(2,1/($E$5:E263=E264),$I$5:I263))-1,""))</x:f>
      </x:c>
      <x:c r="K264" t="str">
        <x:f>IF(E264="","",IFERROR(IF(B264&lt;&gt;LOOKUP(2,1/($E$5:E263=E264),$B$5:B263),"Ranking change",""),""))</x:f>
      </x:c>
    </x:row>
    <x:row r="265">
      <x:c r="H265" t="str">
        <x:f>IF(OR(F265="",G265=""),"",IF(F265=0,"",G265/F265))</x:f>
      </x:c>
      <x:c r="I265" t="str">
        <x:f>IF(OR(F265="",G265=""),"",F265-G265)</x:f>
      </x:c>
      <x:c r="J265" t="str">
        <x:f>IF(E265="","",IFERROR((I265/LOOKUP(2,1/($E$5:E264=E265),$I$5:I264))-1,""))</x:f>
      </x:c>
      <x:c r="K265" t="str">
        <x:f>IF(E265="","",IFERROR(IF(B265&lt;&gt;LOOKUP(2,1/($E$5:E264=E265),$B$5:B264),"Ranking change",""),""))</x:f>
      </x:c>
    </x:row>
    <x:row r="266">
      <x:c r="H266" t="str">
        <x:f>IF(OR(F266="",G266=""),"",IF(F266=0,"",G266/F266))</x:f>
      </x:c>
      <x:c r="I266" t="str">
        <x:f>IF(OR(F266="",G266=""),"",F266-G266)</x:f>
      </x:c>
      <x:c r="J266" t="str">
        <x:f>IF(E266="","",IFERROR((I266/LOOKUP(2,1/($E$5:E265=E266),$I$5:I265))-1,""))</x:f>
      </x:c>
      <x:c r="K266" t="str">
        <x:f>IF(E266="","",IFERROR(IF(B266&lt;&gt;LOOKUP(2,1/($E$5:E265=E266),$B$5:B265),"Ranking change",""),""))</x:f>
      </x:c>
    </x:row>
    <x:row r="267">
      <x:c r="H267" t="str">
        <x:f>IF(OR(F267="",G267=""),"",IF(F267=0,"",G267/F267))</x:f>
      </x:c>
      <x:c r="I267" t="str">
        <x:f>IF(OR(F267="",G267=""),"",F267-G267)</x:f>
      </x:c>
      <x:c r="J267" t="str">
        <x:f>IF(E267="","",IFERROR((I267/LOOKUP(2,1/($E$5:E266=E267),$I$5:I266))-1,""))</x:f>
      </x:c>
      <x:c r="K267" t="str">
        <x:f>IF(E267="","",IFERROR(IF(B267&lt;&gt;LOOKUP(2,1/($E$5:E266=E267),$B$5:B266),"Ranking change",""),""))</x:f>
      </x:c>
    </x:row>
    <x:row r="268">
      <x:c r="H268" t="str">
        <x:f>IF(OR(F268="",G268=""),"",IF(F268=0,"",G268/F268))</x:f>
      </x:c>
      <x:c r="I268" t="str">
        <x:f>IF(OR(F268="",G268=""),"",F268-G268)</x:f>
      </x:c>
      <x:c r="J268" t="str">
        <x:f>IF(E268="","",IFERROR((I268/LOOKUP(2,1/($E$5:E267=E268),$I$5:I267))-1,""))</x:f>
      </x:c>
      <x:c r="K268" t="str">
        <x:f>IF(E268="","",IFERROR(IF(B268&lt;&gt;LOOKUP(2,1/($E$5:E267=E268),$B$5:B267),"Ranking change",""),""))</x:f>
      </x:c>
    </x:row>
    <x:row r="269">
      <x:c r="H269" t="str">
        <x:f>IF(OR(F269="",G269=""),"",IF(F269=0,"",G269/F269))</x:f>
      </x:c>
      <x:c r="I269" t="str">
        <x:f>IF(OR(F269="",G269=""),"",F269-G269)</x:f>
      </x:c>
      <x:c r="J269" t="str">
        <x:f>IF(E269="","",IFERROR((I269/LOOKUP(2,1/($E$5:E268=E269),$I$5:I268))-1,""))</x:f>
      </x:c>
      <x:c r="K269" t="str">
        <x:f>IF(E269="","",IFERROR(IF(B269&lt;&gt;LOOKUP(2,1/($E$5:E268=E269),$B$5:B268),"Ranking change",""),""))</x:f>
      </x:c>
    </x:row>
    <x:row r="270">
      <x:c r="H270" t="str">
        <x:f>IF(OR(F270="",G270=""),"",IF(F270=0,"",G270/F270))</x:f>
      </x:c>
      <x:c r="I270" t="str">
        <x:f>IF(OR(F270="",G270=""),"",F270-G270)</x:f>
      </x:c>
      <x:c r="J270" t="str">
        <x:f>IF(E270="","",IFERROR((I270/LOOKUP(2,1/($E$5:E269=E270),$I$5:I269))-1,""))</x:f>
      </x:c>
      <x:c r="K270" t="str">
        <x:f>IF(E270="","",IFERROR(IF(B270&lt;&gt;LOOKUP(2,1/($E$5:E269=E270),$B$5:B269),"Ranking change",""),""))</x:f>
      </x:c>
    </x:row>
    <x:row r="271">
      <x:c r="H271" t="str">
        <x:f>IF(OR(F271="",G271=""),"",IF(F271=0,"",G271/F271))</x:f>
      </x:c>
      <x:c r="I271" t="str">
        <x:f>IF(OR(F271="",G271=""),"",F271-G271)</x:f>
      </x:c>
      <x:c r="J271" t="str">
        <x:f>IF(E271="","",IFERROR((I271/LOOKUP(2,1/($E$5:E270=E271),$I$5:I270))-1,""))</x:f>
      </x:c>
      <x:c r="K271" t="str">
        <x:f>IF(E271="","",IFERROR(IF(B271&lt;&gt;LOOKUP(2,1/($E$5:E270=E271),$B$5:B270),"Ranking change",""),""))</x:f>
      </x:c>
    </x:row>
    <x:row r="272">
      <x:c r="H272" t="str">
        <x:f>IF(OR(F272="",G272=""),"",IF(F272=0,"",G272/F272))</x:f>
      </x:c>
      <x:c r="I272" t="str">
        <x:f>IF(OR(F272="",G272=""),"",F272-G272)</x:f>
      </x:c>
      <x:c r="J272" t="str">
        <x:f>IF(E272="","",IFERROR((I272/LOOKUP(2,1/($E$5:E271=E272),$I$5:I271))-1,""))</x:f>
      </x:c>
      <x:c r="K272" t="str">
        <x:f>IF(E272="","",IFERROR(IF(B272&lt;&gt;LOOKUP(2,1/($E$5:E271=E272),$B$5:B271),"Ranking change",""),""))</x:f>
      </x:c>
    </x:row>
    <x:row r="273">
      <x:c r="H273" t="str">
        <x:f>IF(OR(F273="",G273=""),"",IF(F273=0,"",G273/F273))</x:f>
      </x:c>
      <x:c r="I273" t="str">
        <x:f>IF(OR(F273="",G273=""),"",F273-G273)</x:f>
      </x:c>
      <x:c r="J273" t="str">
        <x:f>IF(E273="","",IFERROR((I273/LOOKUP(2,1/($E$5:E272=E273),$I$5:I272))-1,""))</x:f>
      </x:c>
      <x:c r="K273" t="str">
        <x:f>IF(E273="","",IFERROR(IF(B273&lt;&gt;LOOKUP(2,1/($E$5:E272=E273),$B$5:B272),"Ranking change",""),""))</x:f>
      </x:c>
    </x:row>
    <x:row r="274">
      <x:c r="H274" t="str">
        <x:f>IF(OR(F274="",G274=""),"",IF(F274=0,"",G274/F274))</x:f>
      </x:c>
      <x:c r="I274" t="str">
        <x:f>IF(OR(F274="",G274=""),"",F274-G274)</x:f>
      </x:c>
      <x:c r="J274" t="str">
        <x:f>IF(E274="","",IFERROR((I274/LOOKUP(2,1/($E$5:E273=E274),$I$5:I273))-1,""))</x:f>
      </x:c>
      <x:c r="K274" t="str">
        <x:f>IF(E274="","",IFERROR(IF(B274&lt;&gt;LOOKUP(2,1/($E$5:E273=E274),$B$5:B273),"Ranking change",""),""))</x:f>
      </x:c>
    </x:row>
    <x:row r="275">
      <x:c r="H275" t="str">
        <x:f>IF(OR(F275="",G275=""),"",IF(F275=0,"",G275/F275))</x:f>
      </x:c>
      <x:c r="I275" t="str">
        <x:f>IF(OR(F275="",G275=""),"",F275-G275)</x:f>
      </x:c>
      <x:c r="J275" t="str">
        <x:f>IF(E275="","",IFERROR((I275/LOOKUP(2,1/($E$5:E274=E275),$I$5:I274))-1,""))</x:f>
      </x:c>
      <x:c r="K275" t="str">
        <x:f>IF(E275="","",IFERROR(IF(B275&lt;&gt;LOOKUP(2,1/($E$5:E274=E275),$B$5:B274),"Ranking change",""),""))</x:f>
      </x:c>
    </x:row>
    <x:row r="276">
      <x:c r="H276" t="str">
        <x:f>IF(OR(F276="",G276=""),"",IF(F276=0,"",G276/F276))</x:f>
      </x:c>
      <x:c r="I276" t="str">
        <x:f>IF(OR(F276="",G276=""),"",F276-G276)</x:f>
      </x:c>
      <x:c r="J276" t="str">
        <x:f>IF(E276="","",IFERROR((I276/LOOKUP(2,1/($E$5:E275=E276),$I$5:I275))-1,""))</x:f>
      </x:c>
      <x:c r="K276" t="str">
        <x:f>IF(E276="","",IFERROR(IF(B276&lt;&gt;LOOKUP(2,1/($E$5:E275=E276),$B$5:B275),"Ranking change",""),""))</x:f>
      </x:c>
    </x:row>
    <x:row r="277">
      <x:c r="H277" t="str">
        <x:f>IF(OR(F277="",G277=""),"",IF(F277=0,"",G277/F277))</x:f>
      </x:c>
      <x:c r="I277" t="str">
        <x:f>IF(OR(F277="",G277=""),"",F277-G277)</x:f>
      </x:c>
      <x:c r="J277" t="str">
        <x:f>IF(E277="","",IFERROR((I277/LOOKUP(2,1/($E$5:E276=E277),$I$5:I276))-1,""))</x:f>
      </x:c>
      <x:c r="K277" t="str">
        <x:f>IF(E277="","",IFERROR(IF(B277&lt;&gt;LOOKUP(2,1/($E$5:E276=E277),$B$5:B276),"Ranking change",""),""))</x:f>
      </x:c>
    </x:row>
    <x:row r="278">
      <x:c r="H278" t="str">
        <x:f>IF(OR(F278="",G278=""),"",IF(F278=0,"",G278/F278))</x:f>
      </x:c>
      <x:c r="I278" t="str">
        <x:f>IF(OR(F278="",G278=""),"",F278-G278)</x:f>
      </x:c>
      <x:c r="J278" t="str">
        <x:f>IF(E278="","",IFERROR((I278/LOOKUP(2,1/($E$5:E277=E278),$I$5:I277))-1,""))</x:f>
      </x:c>
      <x:c r="K278" t="str">
        <x:f>IF(E278="","",IFERROR(IF(B278&lt;&gt;LOOKUP(2,1/($E$5:E277=E278),$B$5:B277),"Ranking change",""),""))</x:f>
      </x:c>
    </x:row>
    <x:row r="279">
      <x:c r="H279" t="str">
        <x:f>IF(OR(F279="",G279=""),"",IF(F279=0,"",G279/F279))</x:f>
      </x:c>
      <x:c r="I279" t="str">
        <x:f>IF(OR(F279="",G279=""),"",F279-G279)</x:f>
      </x:c>
      <x:c r="J279" t="str">
        <x:f>IF(E279="","",IFERROR((I279/LOOKUP(2,1/($E$5:E278=E279),$I$5:I278))-1,""))</x:f>
      </x:c>
      <x:c r="K279" t="str">
        <x:f>IF(E279="","",IFERROR(IF(B279&lt;&gt;LOOKUP(2,1/($E$5:E278=E279),$B$5:B278),"Ranking change",""),""))</x:f>
      </x:c>
    </x:row>
    <x:row r="280">
      <x:c r="H280" t="str">
        <x:f>IF(OR(F280="",G280=""),"",IF(F280=0,"",G280/F280))</x:f>
      </x:c>
      <x:c r="I280" t="str">
        <x:f>IF(OR(F280="",G280=""),"",F280-G280)</x:f>
      </x:c>
      <x:c r="J280" t="str">
        <x:f>IF(E280="","",IFERROR((I280/LOOKUP(2,1/($E$5:E279=E280),$I$5:I279))-1,""))</x:f>
      </x:c>
      <x:c r="K280" t="str">
        <x:f>IF(E280="","",IFERROR(IF(B280&lt;&gt;LOOKUP(2,1/($E$5:E279=E280),$B$5:B279),"Ranking change",""),""))</x:f>
      </x:c>
    </x:row>
    <x:row r="281">
      <x:c r="H281" t="str">
        <x:f>IF(OR(F281="",G281=""),"",IF(F281=0,"",G281/F281))</x:f>
      </x:c>
      <x:c r="I281" t="str">
        <x:f>IF(OR(F281="",G281=""),"",F281-G281)</x:f>
      </x:c>
      <x:c r="J281" t="str">
        <x:f>IF(E281="","",IFERROR((I281/LOOKUP(2,1/($E$5:E280=E281),$I$5:I280))-1,""))</x:f>
      </x:c>
      <x:c r="K281" t="str">
        <x:f>IF(E281="","",IFERROR(IF(B281&lt;&gt;LOOKUP(2,1/($E$5:E280=E281),$B$5:B280),"Ranking change",""),""))</x:f>
      </x:c>
    </x:row>
    <x:row r="282">
      <x:c r="H282" t="str">
        <x:f>IF(OR(F282="",G282=""),"",IF(F282=0,"",G282/F282))</x:f>
      </x:c>
      <x:c r="I282" t="str">
        <x:f>IF(OR(F282="",G282=""),"",F282-G282)</x:f>
      </x:c>
      <x:c r="J282" t="str">
        <x:f>IF(E282="","",IFERROR((I282/LOOKUP(2,1/($E$5:E281=E282),$I$5:I281))-1,""))</x:f>
      </x:c>
      <x:c r="K282" t="str">
        <x:f>IF(E282="","",IFERROR(IF(B282&lt;&gt;LOOKUP(2,1/($E$5:E281=E282),$B$5:B281),"Ranking change",""),""))</x:f>
      </x:c>
    </x:row>
    <x:row r="283">
      <x:c r="H283" t="str">
        <x:f>IF(OR(F283="",G283=""),"",IF(F283=0,"",G283/F283))</x:f>
      </x:c>
      <x:c r="I283" t="str">
        <x:f>IF(OR(F283="",G283=""),"",F283-G283)</x:f>
      </x:c>
      <x:c r="J283" t="str">
        <x:f>IF(E283="","",IFERROR((I283/LOOKUP(2,1/($E$5:E282=E283),$I$5:I282))-1,""))</x:f>
      </x:c>
      <x:c r="K283" t="str">
        <x:f>IF(E283="","",IFERROR(IF(B283&lt;&gt;LOOKUP(2,1/($E$5:E282=E283),$B$5:B282),"Ranking change",""),""))</x:f>
      </x:c>
    </x:row>
    <x:row r="284">
      <x:c r="H284" t="str">
        <x:f>IF(OR(F284="",G284=""),"",IF(F284=0,"",G284/F284))</x:f>
      </x:c>
      <x:c r="I284" t="str">
        <x:f>IF(OR(F284="",G284=""),"",F284-G284)</x:f>
      </x:c>
      <x:c r="J284" t="str">
        <x:f>IF(E284="","",IFERROR((I284/LOOKUP(2,1/($E$5:E283=E284),$I$5:I283))-1,""))</x:f>
      </x:c>
      <x:c r="K284" t="str">
        <x:f>IF(E284="","",IFERROR(IF(B284&lt;&gt;LOOKUP(2,1/($E$5:E283=E284),$B$5:B283),"Ranking change",""),""))</x:f>
      </x:c>
    </x:row>
    <x:row r="285">
      <x:c r="H285" t="str">
        <x:f>IF(OR(F285="",G285=""),"",IF(F285=0,"",G285/F285))</x:f>
      </x:c>
      <x:c r="I285" t="str">
        <x:f>IF(OR(F285="",G285=""),"",F285-G285)</x:f>
      </x:c>
      <x:c r="J285" t="str">
        <x:f>IF(E285="","",IFERROR((I285/LOOKUP(2,1/($E$5:E284=E285),$I$5:I284))-1,""))</x:f>
      </x:c>
      <x:c r="K285" t="str">
        <x:f>IF(E285="","",IFERROR(IF(B285&lt;&gt;LOOKUP(2,1/($E$5:E284=E285),$B$5:B284),"Ranking change",""),""))</x:f>
      </x:c>
    </x:row>
    <x:row r="286">
      <x:c r="H286" t="str">
        <x:f>IF(OR(F286="",G286=""),"",IF(F286=0,"",G286/F286))</x:f>
      </x:c>
      <x:c r="I286" t="str">
        <x:f>IF(OR(F286="",G286=""),"",F286-G286)</x:f>
      </x:c>
      <x:c r="J286" t="str">
        <x:f>IF(E286="","",IFERROR((I286/LOOKUP(2,1/($E$5:E285=E286),$I$5:I285))-1,""))</x:f>
      </x:c>
      <x:c r="K286" t="str">
        <x:f>IF(E286="","",IFERROR(IF(B286&lt;&gt;LOOKUP(2,1/($E$5:E285=E286),$B$5:B285),"Ranking change",""),""))</x:f>
      </x:c>
    </x:row>
    <x:row r="287">
      <x:c r="H287" t="str">
        <x:f>IF(OR(F287="",G287=""),"",IF(F287=0,"",G287/F287))</x:f>
      </x:c>
      <x:c r="I287" t="str">
        <x:f>IF(OR(F287="",G287=""),"",F287-G287)</x:f>
      </x:c>
      <x:c r="J287" t="str">
        <x:f>IF(E287="","",IFERROR((I287/LOOKUP(2,1/($E$5:E286=E287),$I$5:I286))-1,""))</x:f>
      </x:c>
      <x:c r="K287" t="str">
        <x:f>IF(E287="","",IFERROR(IF(B287&lt;&gt;LOOKUP(2,1/($E$5:E286=E287),$B$5:B286),"Ranking change",""),""))</x:f>
      </x:c>
    </x:row>
    <x:row r="288">
      <x:c r="H288" t="str">
        <x:f>IF(OR(F288="",G288=""),"",IF(F288=0,"",G288/F288))</x:f>
      </x:c>
      <x:c r="I288" t="str">
        <x:f>IF(OR(F288="",G288=""),"",F288-G288)</x:f>
      </x:c>
      <x:c r="J288" t="str">
        <x:f>IF(E288="","",IFERROR((I288/LOOKUP(2,1/($E$5:E287=E288),$I$5:I287))-1,""))</x:f>
      </x:c>
      <x:c r="K288" t="str">
        <x:f>IF(E288="","",IFERROR(IF(B288&lt;&gt;LOOKUP(2,1/($E$5:E287=E288),$B$5:B287),"Ranking change",""),""))</x:f>
      </x:c>
    </x:row>
    <x:row r="289">
      <x:c r="H289" t="str">
        <x:f>IF(OR(F289="",G289=""),"",IF(F289=0,"",G289/F289))</x:f>
      </x:c>
      <x:c r="I289" t="str">
        <x:f>IF(OR(F289="",G289=""),"",F289-G289)</x:f>
      </x:c>
      <x:c r="J289" t="str">
        <x:f>IF(E289="","",IFERROR((I289/LOOKUP(2,1/($E$5:E288=E289),$I$5:I288))-1,""))</x:f>
      </x:c>
      <x:c r="K289" t="str">
        <x:f>IF(E289="","",IFERROR(IF(B289&lt;&gt;LOOKUP(2,1/($E$5:E288=E289),$B$5:B288),"Ranking change",""),""))</x:f>
      </x:c>
    </x:row>
    <x:row r="290">
      <x:c r="H290" t="str">
        <x:f>IF(OR(F290="",G290=""),"",IF(F290=0,"",G290/F290))</x:f>
      </x:c>
      <x:c r="I290" t="str">
        <x:f>IF(OR(F290="",G290=""),"",F290-G290)</x:f>
      </x:c>
      <x:c r="J290" t="str">
        <x:f>IF(E290="","",IFERROR((I290/LOOKUP(2,1/($E$5:E289=E290),$I$5:I289))-1,""))</x:f>
      </x:c>
      <x:c r="K290" t="str">
        <x:f>IF(E290="","",IFERROR(IF(B290&lt;&gt;LOOKUP(2,1/($E$5:E289=E290),$B$5:B289),"Ranking change",""),""))</x:f>
      </x:c>
    </x:row>
    <x:row r="291">
      <x:c r="H291" t="str">
        <x:f>IF(OR(F291="",G291=""),"",IF(F291=0,"",G291/F291))</x:f>
      </x:c>
      <x:c r="I291" t="str">
        <x:f>IF(OR(F291="",G291=""),"",F291-G291)</x:f>
      </x:c>
      <x:c r="J291" t="str">
        <x:f>IF(E291="","",IFERROR((I291/LOOKUP(2,1/($E$5:E290=E291),$I$5:I290))-1,""))</x:f>
      </x:c>
      <x:c r="K291" t="str">
        <x:f>IF(E291="","",IFERROR(IF(B291&lt;&gt;LOOKUP(2,1/($E$5:E290=E291),$B$5:B290),"Ranking change",""),""))</x:f>
      </x:c>
    </x:row>
    <x:row r="292">
      <x:c r="H292" t="str">
        <x:f>IF(OR(F292="",G292=""),"",IF(F292=0,"",G292/F292))</x:f>
      </x:c>
      <x:c r="I292" t="str">
        <x:f>IF(OR(F292="",G292=""),"",F292-G292)</x:f>
      </x:c>
      <x:c r="J292" t="str">
        <x:f>IF(E292="","",IFERROR((I292/LOOKUP(2,1/($E$5:E291=E292),$I$5:I291))-1,""))</x:f>
      </x:c>
      <x:c r="K292" t="str">
        <x:f>IF(E292="","",IFERROR(IF(B292&lt;&gt;LOOKUP(2,1/($E$5:E291=E292),$B$5:B291),"Ranking change",""),""))</x:f>
      </x:c>
    </x:row>
    <x:row r="293">
      <x:c r="H293" t="str">
        <x:f>IF(OR(F293="",G293=""),"",IF(F293=0,"",G293/F293))</x:f>
      </x:c>
      <x:c r="I293" t="str">
        <x:f>IF(OR(F293="",G293=""),"",F293-G293)</x:f>
      </x:c>
      <x:c r="J293" t="str">
        <x:f>IF(E293="","",IFERROR((I293/LOOKUP(2,1/($E$5:E292=E293),$I$5:I292))-1,""))</x:f>
      </x:c>
      <x:c r="K293" t="str">
        <x:f>IF(E293="","",IFERROR(IF(B293&lt;&gt;LOOKUP(2,1/($E$5:E292=E293),$B$5:B292),"Ranking change",""),""))</x:f>
      </x:c>
    </x:row>
    <x:row r="294">
      <x:c r="H294" t="str">
        <x:f>IF(OR(F294="",G294=""),"",IF(F294=0,"",G294/F294))</x:f>
      </x:c>
      <x:c r="I294" t="str">
        <x:f>IF(OR(F294="",G294=""),"",F294-G294)</x:f>
      </x:c>
      <x:c r="J294" t="str">
        <x:f>IF(E294="","",IFERROR((I294/LOOKUP(2,1/($E$5:E293=E294),$I$5:I293))-1,""))</x:f>
      </x:c>
      <x:c r="K294" t="str">
        <x:f>IF(E294="","",IFERROR(IF(B294&lt;&gt;LOOKUP(2,1/($E$5:E293=E294),$B$5:B293),"Ranking change",""),""))</x:f>
      </x:c>
    </x:row>
    <x:row r="295">
      <x:c r="H295" t="str">
        <x:f>IF(OR(F295="",G295=""),"",IF(F295=0,"",G295/F295))</x:f>
      </x:c>
      <x:c r="I295" t="str">
        <x:f>IF(OR(F295="",G295=""),"",F295-G295)</x:f>
      </x:c>
      <x:c r="J295" t="str">
        <x:f>IF(E295="","",IFERROR((I295/LOOKUP(2,1/($E$5:E294=E295),$I$5:I294))-1,""))</x:f>
      </x:c>
      <x:c r="K295" t="str">
        <x:f>IF(E295="","",IFERROR(IF(B295&lt;&gt;LOOKUP(2,1/($E$5:E294=E295),$B$5:B294),"Ranking change",""),""))</x:f>
      </x:c>
    </x:row>
    <x:row r="296">
      <x:c r="H296" t="str">
        <x:f>IF(OR(F296="",G296=""),"",IF(F296=0,"",G296/F296))</x:f>
      </x:c>
      <x:c r="I296" t="str">
        <x:f>IF(OR(F296="",G296=""),"",F296-G296)</x:f>
      </x:c>
      <x:c r="J296" t="str">
        <x:f>IF(E296="","",IFERROR((I296/LOOKUP(2,1/($E$5:E295=E296),$I$5:I295))-1,""))</x:f>
      </x:c>
      <x:c r="K296" t="str">
        <x:f>IF(E296="","",IFERROR(IF(B296&lt;&gt;LOOKUP(2,1/($E$5:E295=E296),$B$5:B295),"Ranking change",""),""))</x:f>
      </x:c>
    </x:row>
    <x:row r="297">
      <x:c r="H297" t="str">
        <x:f>IF(OR(F297="",G297=""),"",IF(F297=0,"",G297/F297))</x:f>
      </x:c>
      <x:c r="I297" t="str">
        <x:f>IF(OR(F297="",G297=""),"",F297-G297)</x:f>
      </x:c>
      <x:c r="J297" t="str">
        <x:f>IF(E297="","",IFERROR((I297/LOOKUP(2,1/($E$5:E296=E297),$I$5:I296))-1,""))</x:f>
      </x:c>
      <x:c r="K297" t="str">
        <x:f>IF(E297="","",IFERROR(IF(B297&lt;&gt;LOOKUP(2,1/($E$5:E296=E297),$B$5:B296),"Ranking change",""),""))</x:f>
      </x:c>
    </x:row>
    <x:row r="298">
      <x:c r="H298" t="str">
        <x:f>IF(OR(F298="",G298=""),"",IF(F298=0,"",G298/F298))</x:f>
      </x:c>
      <x:c r="I298" t="str">
        <x:f>IF(OR(F298="",G298=""),"",F298-G298)</x:f>
      </x:c>
      <x:c r="J298" t="str">
        <x:f>IF(E298="","",IFERROR((I298/LOOKUP(2,1/($E$5:E297=E298),$I$5:I297))-1,""))</x:f>
      </x:c>
      <x:c r="K298" t="str">
        <x:f>IF(E298="","",IFERROR(IF(B298&lt;&gt;LOOKUP(2,1/($E$5:E297=E298),$B$5:B297),"Ranking change",""),""))</x:f>
      </x:c>
    </x:row>
    <x:row r="299">
      <x:c r="H299" t="str">
        <x:f>IF(OR(F299="",G299=""),"",IF(F299=0,"",G299/F299))</x:f>
      </x:c>
      <x:c r="I299" t="str">
        <x:f>IF(OR(F299="",G299=""),"",F299-G299)</x:f>
      </x:c>
      <x:c r="J299" t="str">
        <x:f>IF(E299="","",IFERROR((I299/LOOKUP(2,1/($E$5:E298=E299),$I$5:I298))-1,""))</x:f>
      </x:c>
      <x:c r="K299" t="str">
        <x:f>IF(E299="","",IFERROR(IF(B299&lt;&gt;LOOKUP(2,1/($E$5:E298=E299),$B$5:B298),"Ranking change",""),""))</x:f>
      </x:c>
    </x:row>
    <x:row r="300">
      <x:c r="H300" t="str">
        <x:f>IF(OR(F300="",G300=""),"",IF(F300=0,"",G300/F300))</x:f>
      </x:c>
      <x:c r="I300" t="str">
        <x:f>IF(OR(F300="",G300=""),"",F300-G300)</x:f>
      </x:c>
      <x:c r="J300" t="str">
        <x:f>IF(E300="","",IFERROR((I300/LOOKUP(2,1/($E$5:E299=E300),$I$5:I299))-1,""))</x:f>
      </x:c>
      <x:c r="K300" t="str">
        <x:f>IF(E300="","",IFERROR(IF(B300&lt;&gt;LOOKUP(2,1/($E$5:E299=E300),$B$5:B299),"Ranking change",""),""))</x:f>
      </x:c>
    </x:row>
    <x:row r="301">
      <x:c r="H301" t="str">
        <x:f>IF(OR(F301="",G301=""),"",IF(F301=0,"",G301/F301))</x:f>
      </x:c>
      <x:c r="I301" t="str">
        <x:f>IF(OR(F301="",G301=""),"",F301-G301)</x:f>
      </x:c>
      <x:c r="J301" t="str">
        <x:f>IF(E301="","",IFERROR((I301/LOOKUP(2,1/($E$5:E300=E301),$I$5:I300))-1,""))</x:f>
      </x:c>
      <x:c r="K301" t="str">
        <x:f>IF(E301="","",IFERROR(IF(B301&lt;&gt;LOOKUP(2,1/($E$5:E300=E301),$B$5:B300),"Ranking change",""),""))</x:f>
      </x:c>
    </x:row>
    <x:row r="302">
      <x:c r="H302" t="str">
        <x:f>IF(OR(F302="",G302=""),"",IF(F302=0,"",G302/F302))</x:f>
      </x:c>
      <x:c r="I302" t="str">
        <x:f>IF(OR(F302="",G302=""),"",F302-G302)</x:f>
      </x:c>
      <x:c r="J302" t="str">
        <x:f>IF(E302="","",IFERROR((I302/LOOKUP(2,1/($E$5:E301=E302),$I$5:I301))-1,""))</x:f>
      </x:c>
      <x:c r="K302" t="str">
        <x:f>IF(E302="","",IFERROR(IF(B302&lt;&gt;LOOKUP(2,1/($E$5:E301=E302),$B$5:B301),"Ranking change",""),""))</x:f>
      </x:c>
    </x:row>
    <x:row r="303">
      <x:c r="H303" t="str">
        <x:f>IF(OR(F303="",G303=""),"",IF(F303=0,"",G303/F303))</x:f>
      </x:c>
      <x:c r="I303" t="str">
        <x:f>IF(OR(F303="",G303=""),"",F303-G303)</x:f>
      </x:c>
      <x:c r="J303" t="str">
        <x:f>IF(E303="","",IFERROR((I303/LOOKUP(2,1/($E$5:E302=E303),$I$5:I302))-1,""))</x:f>
      </x:c>
      <x:c r="K303" t="str">
        <x:f>IF(E303="","",IFERROR(IF(B303&lt;&gt;LOOKUP(2,1/($E$5:E302=E303),$B$5:B302),"Ranking change",""),""))</x:f>
      </x:c>
    </x:row>
    <x:row r="304">
      <x:c r="H304" t="str">
        <x:f>IF(OR(F304="",G304=""),"",IF(F304=0,"",G304/F304))</x:f>
      </x:c>
      <x:c r="I304" t="str">
        <x:f>IF(OR(F304="",G304=""),"",F304-G304)</x:f>
      </x:c>
      <x:c r="J304" t="str">
        <x:f>IF(E304="","",IFERROR((I304/LOOKUP(2,1/($E$5:E303=E304),$I$5:I303))-1,""))</x:f>
      </x:c>
      <x:c r="K304" t="str">
        <x:f>IF(E304="","",IFERROR(IF(B304&lt;&gt;LOOKUP(2,1/($E$5:E303=E304),$B$5:B303),"Ranking change",""),""))</x:f>
      </x:c>
    </x:row>
    <x:row r="305">
      <x:c r="H305" t="str">
        <x:f>IF(OR(F305="",G305=""),"",IF(F305=0,"",G305/F305))</x:f>
      </x:c>
      <x:c r="I305" t="str">
        <x:f>IF(OR(F305="",G305=""),"",F305-G305)</x:f>
      </x:c>
      <x:c r="J305" t="str">
        <x:f>IF(E305="","",IFERROR((I305/LOOKUP(2,1/($E$5:E304=E305),$I$5:I304))-1,""))</x:f>
      </x:c>
      <x:c r="K305" t="str">
        <x:f>IF(E305="","",IFERROR(IF(B305&lt;&gt;LOOKUP(2,1/($E$5:E304=E305),$B$5:B304),"Ranking change",""),""))</x:f>
      </x:c>
    </x:row>
    <x:row r="306">
      <x:c r="H306" t="str">
        <x:f>IF(OR(F306="",G306=""),"",IF(F306=0,"",G306/F306))</x:f>
      </x:c>
      <x:c r="I306" t="str">
        <x:f>IF(OR(F306="",G306=""),"",F306-G306)</x:f>
      </x:c>
      <x:c r="J306" t="str">
        <x:f>IF(E306="","",IFERROR((I306/LOOKUP(2,1/($E$5:E305=E306),$I$5:I305))-1,""))</x:f>
      </x:c>
      <x:c r="K306" t="str">
        <x:f>IF(E306="","",IFERROR(IF(B306&lt;&gt;LOOKUP(2,1/($E$5:E305=E306),$B$5:B305),"Ranking change",""),""))</x:f>
      </x:c>
    </x:row>
    <x:row r="307">
      <x:c r="H307" t="str">
        <x:f>IF(OR(F307="",G307=""),"",IF(F307=0,"",G307/F307))</x:f>
      </x:c>
      <x:c r="I307" t="str">
        <x:f>IF(OR(F307="",G307=""),"",F307-G307)</x:f>
      </x:c>
      <x:c r="J307" t="str">
        <x:f>IF(E307="","",IFERROR((I307/LOOKUP(2,1/($E$5:E306=E307),$I$5:I306))-1,""))</x:f>
      </x:c>
      <x:c r="K307" t="str">
        <x:f>IF(E307="","",IFERROR(IF(B307&lt;&gt;LOOKUP(2,1/($E$5:E306=E307),$B$5:B306),"Ranking change",""),""))</x:f>
      </x:c>
    </x:row>
    <x:row r="308">
      <x:c r="H308" t="str">
        <x:f>IF(OR(F308="",G308=""),"",IF(F308=0,"",G308/F308))</x:f>
      </x:c>
      <x:c r="I308" t="str">
        <x:f>IF(OR(F308="",G308=""),"",F308-G308)</x:f>
      </x:c>
      <x:c r="J308" t="str">
        <x:f>IF(E308="","",IFERROR((I308/LOOKUP(2,1/($E$5:E307=E308),$I$5:I307))-1,""))</x:f>
      </x:c>
      <x:c r="K308" t="str">
        <x:f>IF(E308="","",IFERROR(IF(B308&lt;&gt;LOOKUP(2,1/($E$5:E307=E308),$B$5:B307),"Ranking change",""),""))</x:f>
      </x:c>
    </x:row>
    <x:row r="309">
      <x:c r="H309" t="str">
        <x:f>IF(OR(F309="",G309=""),"",IF(F309=0,"",G309/F309))</x:f>
      </x:c>
      <x:c r="I309" t="str">
        <x:f>IF(OR(F309="",G309=""),"",F309-G309)</x:f>
      </x:c>
      <x:c r="J309" t="str">
        <x:f>IF(E309="","",IFERROR((I309/LOOKUP(2,1/($E$5:E308=E309),$I$5:I308))-1,""))</x:f>
      </x:c>
      <x:c r="K309" t="str">
        <x:f>IF(E309="","",IFERROR(IF(B309&lt;&gt;LOOKUP(2,1/($E$5:E308=E309),$B$5:B308),"Ranking change",""),""))</x:f>
      </x:c>
    </x:row>
    <x:row r="310">
      <x:c r="H310" t="str">
        <x:f>IF(OR(F310="",G310=""),"",IF(F310=0,"",G310/F310))</x:f>
      </x:c>
      <x:c r="I310" t="str">
        <x:f>IF(OR(F310="",G310=""),"",F310-G310)</x:f>
      </x:c>
      <x:c r="J310" t="str">
        <x:f>IF(E310="","",IFERROR((I310/LOOKUP(2,1/($E$5:E309=E310),$I$5:I309))-1,""))</x:f>
      </x:c>
      <x:c r="K310" t="str">
        <x:f>IF(E310="","",IFERROR(IF(B310&lt;&gt;LOOKUP(2,1/($E$5:E309=E310),$B$5:B309),"Ranking change",""),""))</x:f>
      </x:c>
    </x:row>
    <x:row r="311">
      <x:c r="H311" t="str">
        <x:f>IF(OR(F311="",G311=""),"",IF(F311=0,"",G311/F311))</x:f>
      </x:c>
      <x:c r="I311" t="str">
        <x:f>IF(OR(F311="",G311=""),"",F311-G311)</x:f>
      </x:c>
      <x:c r="J311" t="str">
        <x:f>IF(E311="","",IFERROR((I311/LOOKUP(2,1/($E$5:E310=E311),$I$5:I310))-1,""))</x:f>
      </x:c>
      <x:c r="K311" t="str">
        <x:f>IF(E311="","",IFERROR(IF(B311&lt;&gt;LOOKUP(2,1/($E$5:E310=E311),$B$5:B310),"Ranking change",""),""))</x:f>
      </x:c>
    </x:row>
    <x:row r="312">
      <x:c r="H312" t="str">
        <x:f>IF(OR(F312="",G312=""),"",IF(F312=0,"",G312/F312))</x:f>
      </x:c>
      <x:c r="I312" t="str">
        <x:f>IF(OR(F312="",G312=""),"",F312-G312)</x:f>
      </x:c>
      <x:c r="J312" t="str">
        <x:f>IF(E312="","",IFERROR((I312/LOOKUP(2,1/($E$5:E311=E312),$I$5:I311))-1,""))</x:f>
      </x:c>
      <x:c r="K312" t="str">
        <x:f>IF(E312="","",IFERROR(IF(B312&lt;&gt;LOOKUP(2,1/($E$5:E311=E312),$B$5:B311),"Ranking change",""),""))</x:f>
      </x:c>
    </x:row>
    <x:row r="313">
      <x:c r="H313" t="str">
        <x:f>IF(OR(F313="",G313=""),"",IF(F313=0,"",G313/F313))</x:f>
      </x:c>
      <x:c r="I313" t="str">
        <x:f>IF(OR(F313="",G313=""),"",F313-G313)</x:f>
      </x:c>
      <x:c r="J313" t="str">
        <x:f>IF(E313="","",IFERROR((I313/LOOKUP(2,1/($E$5:E312=E313),$I$5:I312))-1,""))</x:f>
      </x:c>
      <x:c r="K313" t="str">
        <x:f>IF(E313="","",IFERROR(IF(B313&lt;&gt;LOOKUP(2,1/($E$5:E312=E313),$B$5:B312),"Ranking change",""),""))</x:f>
      </x:c>
    </x:row>
    <x:row r="314">
      <x:c r="H314" t="str">
        <x:f>IF(OR(F314="",G314=""),"",IF(F314=0,"",G314/F314))</x:f>
      </x:c>
      <x:c r="I314" t="str">
        <x:f>IF(OR(F314="",G314=""),"",F314-G314)</x:f>
      </x:c>
      <x:c r="J314" t="str">
        <x:f>IF(E314="","",IFERROR((I314/LOOKUP(2,1/($E$5:E313=E314),$I$5:I313))-1,""))</x:f>
      </x:c>
      <x:c r="K314" t="str">
        <x:f>IF(E314="","",IFERROR(IF(B314&lt;&gt;LOOKUP(2,1/($E$5:E313=E314),$B$5:B313),"Ranking change",""),""))</x:f>
      </x:c>
    </x:row>
    <x:row r="315">
      <x:c r="H315" t="str">
        <x:f>IF(OR(F315="",G315=""),"",IF(F315=0,"",G315/F315))</x:f>
      </x:c>
      <x:c r="I315" t="str">
        <x:f>IF(OR(F315="",G315=""),"",F315-G315)</x:f>
      </x:c>
      <x:c r="J315" t="str">
        <x:f>IF(E315="","",IFERROR((I315/LOOKUP(2,1/($E$5:E314=E315),$I$5:I314))-1,""))</x:f>
      </x:c>
      <x:c r="K315" t="str">
        <x:f>IF(E315="","",IFERROR(IF(B315&lt;&gt;LOOKUP(2,1/($E$5:E314=E315),$B$5:B314),"Ranking change",""),""))</x:f>
      </x:c>
    </x:row>
    <x:row r="316">
      <x:c r="H316" t="str">
        <x:f>IF(OR(F316="",G316=""),"",IF(F316=0,"",G316/F316))</x:f>
      </x:c>
      <x:c r="I316" t="str">
        <x:f>IF(OR(F316="",G316=""),"",F316-G316)</x:f>
      </x:c>
      <x:c r="J316" t="str">
        <x:f>IF(E316="","",IFERROR((I316/LOOKUP(2,1/($E$5:E315=E316),$I$5:I315))-1,""))</x:f>
      </x:c>
      <x:c r="K316" t="str">
        <x:f>IF(E316="","",IFERROR(IF(B316&lt;&gt;LOOKUP(2,1/($E$5:E315=E316),$B$5:B315),"Ranking change",""),""))</x:f>
      </x:c>
    </x:row>
    <x:row r="317">
      <x:c r="H317" t="str">
        <x:f>IF(OR(F317="",G317=""),"",IF(F317=0,"",G317/F317))</x:f>
      </x:c>
      <x:c r="I317" t="str">
        <x:f>IF(OR(F317="",G317=""),"",F317-G317)</x:f>
      </x:c>
      <x:c r="J317" t="str">
        <x:f>IF(E317="","",IFERROR((I317/LOOKUP(2,1/($E$5:E316=E317),$I$5:I316))-1,""))</x:f>
      </x:c>
      <x:c r="K317" t="str">
        <x:f>IF(E317="","",IFERROR(IF(B317&lt;&gt;LOOKUP(2,1/($E$5:E316=E317),$B$5:B316),"Ranking change",""),""))</x:f>
      </x:c>
    </x:row>
    <x:row r="318">
      <x:c r="H318" t="str">
        <x:f>IF(OR(F318="",G318=""),"",IF(F318=0,"",G318/F318))</x:f>
      </x:c>
      <x:c r="I318" t="str">
        <x:f>IF(OR(F318="",G318=""),"",F318-G318)</x:f>
      </x:c>
      <x:c r="J318" t="str">
        <x:f>IF(E318="","",IFERROR((I318/LOOKUP(2,1/($E$5:E317=E318),$I$5:I317))-1,""))</x:f>
      </x:c>
      <x:c r="K318" t="str">
        <x:f>IF(E318="","",IFERROR(IF(B318&lt;&gt;LOOKUP(2,1/($E$5:E317=E318),$B$5:B317),"Ranking change",""),""))</x:f>
      </x:c>
    </x:row>
    <x:row r="319">
      <x:c r="H319" t="str">
        <x:f>IF(OR(F319="",G319=""),"",IF(F319=0,"",G319/F319))</x:f>
      </x:c>
      <x:c r="I319" t="str">
        <x:f>IF(OR(F319="",G319=""),"",F319-G319)</x:f>
      </x:c>
      <x:c r="J319" t="str">
        <x:f>IF(E319="","",IFERROR((I319/LOOKUP(2,1/($E$5:E318=E319),$I$5:I318))-1,""))</x:f>
      </x:c>
      <x:c r="K319" t="str">
        <x:f>IF(E319="","",IFERROR(IF(B319&lt;&gt;LOOKUP(2,1/($E$5:E318=E319),$B$5:B318),"Ranking change",""),""))</x:f>
      </x:c>
    </x:row>
    <x:row r="320">
      <x:c r="H320" t="str">
        <x:f>IF(OR(F320="",G320=""),"",IF(F320=0,"",G320/F320))</x:f>
      </x:c>
      <x:c r="I320" t="str">
        <x:f>IF(OR(F320="",G320=""),"",F320-G320)</x:f>
      </x:c>
      <x:c r="J320" t="str">
        <x:f>IF(E320="","",IFERROR((I320/LOOKUP(2,1/($E$5:E319=E320),$I$5:I319))-1,""))</x:f>
      </x:c>
      <x:c r="K320" t="str">
        <x:f>IF(E320="","",IFERROR(IF(B320&lt;&gt;LOOKUP(2,1/($E$5:E319=E320),$B$5:B319),"Ranking change",""),""))</x:f>
      </x:c>
    </x:row>
    <x:row r="321">
      <x:c r="H321" t="str">
        <x:f>IF(OR(F321="",G321=""),"",IF(F321=0,"",G321/F321))</x:f>
      </x:c>
      <x:c r="I321" t="str">
        <x:f>IF(OR(F321="",G321=""),"",F321-G321)</x:f>
      </x:c>
      <x:c r="J321" t="str">
        <x:f>IF(E321="","",IFERROR((I321/LOOKUP(2,1/($E$5:E320=E321),$I$5:I320))-1,""))</x:f>
      </x:c>
      <x:c r="K321" t="str">
        <x:f>IF(E321="","",IFERROR(IF(B321&lt;&gt;LOOKUP(2,1/($E$5:E320=E321),$B$5:B320),"Ranking change",""),""))</x:f>
      </x:c>
    </x:row>
    <x:row r="322">
      <x:c r="H322" t="str">
        <x:f>IF(OR(F322="",G322=""),"",IF(F322=0,"",G322/F322))</x:f>
      </x:c>
      <x:c r="I322" t="str">
        <x:f>IF(OR(F322="",G322=""),"",F322-G322)</x:f>
      </x:c>
      <x:c r="J322" t="str">
        <x:f>IF(E322="","",IFERROR((I322/LOOKUP(2,1/($E$5:E321=E322),$I$5:I321))-1,""))</x:f>
      </x:c>
      <x:c r="K322" t="str">
        <x:f>IF(E322="","",IFERROR(IF(B322&lt;&gt;LOOKUP(2,1/($E$5:E321=E322),$B$5:B321),"Ranking change",""),""))</x:f>
      </x:c>
    </x:row>
    <x:row r="323">
      <x:c r="H323" t="str">
        <x:f>IF(OR(F323="",G323=""),"",IF(F323=0,"",G323/F323))</x:f>
      </x:c>
      <x:c r="I323" t="str">
        <x:f>IF(OR(F323="",G323=""),"",F323-G323)</x:f>
      </x:c>
      <x:c r="J323" t="str">
        <x:f>IF(E323="","",IFERROR((I323/LOOKUP(2,1/($E$5:E322=E323),$I$5:I322))-1,""))</x:f>
      </x:c>
      <x:c r="K323" t="str">
        <x:f>IF(E323="","",IFERROR(IF(B323&lt;&gt;LOOKUP(2,1/($E$5:E322=E323),$B$5:B322),"Ranking change",""),""))</x:f>
      </x:c>
    </x:row>
    <x:row r="324">
      <x:c r="H324" t="str">
        <x:f>IF(OR(F324="",G324=""),"",IF(F324=0,"",G324/F324))</x:f>
      </x:c>
      <x:c r="I324" t="str">
        <x:f>IF(OR(F324="",G324=""),"",F324-G324)</x:f>
      </x:c>
      <x:c r="J324" t="str">
        <x:f>IF(E324="","",IFERROR((I324/LOOKUP(2,1/($E$5:E323=E324),$I$5:I323))-1,""))</x:f>
      </x:c>
      <x:c r="K324" t="str">
        <x:f>IF(E324="","",IFERROR(IF(B324&lt;&gt;LOOKUP(2,1/($E$5:E323=E324),$B$5:B323),"Ranking change",""),""))</x:f>
      </x:c>
    </x:row>
    <x:row r="325">
      <x:c r="H325" t="str">
        <x:f>IF(OR(F325="",G325=""),"",IF(F325=0,"",G325/F325))</x:f>
      </x:c>
      <x:c r="I325" t="str">
        <x:f>IF(OR(F325="",G325=""),"",F325-G325)</x:f>
      </x:c>
      <x:c r="J325" t="str">
        <x:f>IF(E325="","",IFERROR((I325/LOOKUP(2,1/($E$5:E324=E325),$I$5:I324))-1,""))</x:f>
      </x:c>
      <x:c r="K325" t="str">
        <x:f>IF(E325="","",IFERROR(IF(B325&lt;&gt;LOOKUP(2,1/($E$5:E324=E325),$B$5:B324),"Ranking change",""),""))</x:f>
      </x:c>
    </x:row>
    <x:row r="326">
      <x:c r="H326" t="str">
        <x:f>IF(OR(F326="",G326=""),"",IF(F326=0,"",G326/F326))</x:f>
      </x:c>
      <x:c r="I326" t="str">
        <x:f>IF(OR(F326="",G326=""),"",F326-G326)</x:f>
      </x:c>
      <x:c r="J326" t="str">
        <x:f>IF(E326="","",IFERROR((I326/LOOKUP(2,1/($E$5:E325=E326),$I$5:I325))-1,""))</x:f>
      </x:c>
      <x:c r="K326" t="str">
        <x:f>IF(E326="","",IFERROR(IF(B326&lt;&gt;LOOKUP(2,1/($E$5:E325=E326),$B$5:B325),"Ranking change",""),""))</x:f>
      </x:c>
    </x:row>
    <x:row r="327">
      <x:c r="H327" t="str">
        <x:f>IF(OR(F327="",G327=""),"",IF(F327=0,"",G327/F327))</x:f>
      </x:c>
      <x:c r="I327" t="str">
        <x:f>IF(OR(F327="",G327=""),"",F327-G327)</x:f>
      </x:c>
      <x:c r="J327" t="str">
        <x:f>IF(E327="","",IFERROR((I327/LOOKUP(2,1/($E$5:E326=E327),$I$5:I326))-1,""))</x:f>
      </x:c>
      <x:c r="K327" t="str">
        <x:f>IF(E327="","",IFERROR(IF(B327&lt;&gt;LOOKUP(2,1/($E$5:E326=E327),$B$5:B326),"Ranking change",""),""))</x:f>
      </x:c>
    </x:row>
    <x:row r="328">
      <x:c r="H328" t="str">
        <x:f>IF(OR(F328="",G328=""),"",IF(F328=0,"",G328/F328))</x:f>
      </x:c>
      <x:c r="I328" t="str">
        <x:f>IF(OR(F328="",G328=""),"",F328-G328)</x:f>
      </x:c>
      <x:c r="J328" t="str">
        <x:f>IF(E328="","",IFERROR((I328/LOOKUP(2,1/($E$5:E327=E328),$I$5:I327))-1,""))</x:f>
      </x:c>
      <x:c r="K328" t="str">
        <x:f>IF(E328="","",IFERROR(IF(B328&lt;&gt;LOOKUP(2,1/($E$5:E327=E328),$B$5:B327),"Ranking change",""),""))</x:f>
      </x:c>
    </x:row>
    <x:row r="329">
      <x:c r="H329" t="str">
        <x:f>IF(OR(F329="",G329=""),"",IF(F329=0,"",G329/F329))</x:f>
      </x:c>
      <x:c r="I329" t="str">
        <x:f>IF(OR(F329="",G329=""),"",F329-G329)</x:f>
      </x:c>
      <x:c r="J329" t="str">
        <x:f>IF(E329="","",IFERROR((I329/LOOKUP(2,1/($E$5:E328=E329),$I$5:I328))-1,""))</x:f>
      </x:c>
      <x:c r="K329" t="str">
        <x:f>IF(E329="","",IFERROR(IF(B329&lt;&gt;LOOKUP(2,1/($E$5:E328=E329),$B$5:B328),"Ranking change",""),""))</x:f>
      </x:c>
    </x:row>
    <x:row r="330">
      <x:c r="H330" t="str">
        <x:f>IF(OR(F330="",G330=""),"",IF(F330=0,"",G330/F330))</x:f>
      </x:c>
      <x:c r="I330" t="str">
        <x:f>IF(OR(F330="",G330=""),"",F330-G330)</x:f>
      </x:c>
      <x:c r="J330" t="str">
        <x:f>IF(E330="","",IFERROR((I330/LOOKUP(2,1/($E$5:E329=E330),$I$5:I329))-1,""))</x:f>
      </x:c>
      <x:c r="K330" t="str">
        <x:f>IF(E330="","",IFERROR(IF(B330&lt;&gt;LOOKUP(2,1/($E$5:E329=E330),$B$5:B329),"Ranking change",""),""))</x:f>
      </x:c>
    </x:row>
    <x:row r="331">
      <x:c r="H331" t="str">
        <x:f>IF(OR(F331="",G331=""),"",IF(F331=0,"",G331/F331))</x:f>
      </x:c>
      <x:c r="I331" t="str">
        <x:f>IF(OR(F331="",G331=""),"",F331-G331)</x:f>
      </x:c>
      <x:c r="J331" t="str">
        <x:f>IF(E331="","",IFERROR((I331/LOOKUP(2,1/($E$5:E330=E331),$I$5:I330))-1,""))</x:f>
      </x:c>
      <x:c r="K331" t="str">
        <x:f>IF(E331="","",IFERROR(IF(B331&lt;&gt;LOOKUP(2,1/($E$5:E330=E331),$B$5:B330),"Ranking change",""),""))</x:f>
      </x:c>
    </x:row>
    <x:row r="332">
      <x:c r="H332" t="str">
        <x:f>IF(OR(F332="",G332=""),"",IF(F332=0,"",G332/F332))</x:f>
      </x:c>
      <x:c r="I332" t="str">
        <x:f>IF(OR(F332="",G332=""),"",F332-G332)</x:f>
      </x:c>
      <x:c r="J332" t="str">
        <x:f>IF(E332="","",IFERROR((I332/LOOKUP(2,1/($E$5:E331=E332),$I$5:I331))-1,""))</x:f>
      </x:c>
      <x:c r="K332" t="str">
        <x:f>IF(E332="","",IFERROR(IF(B332&lt;&gt;LOOKUP(2,1/($E$5:E331=E332),$B$5:B331),"Ranking change",""),""))</x:f>
      </x:c>
    </x:row>
    <x:row r="333">
      <x:c r="H333" t="str">
        <x:f>IF(OR(F333="",G333=""),"",IF(F333=0,"",G333/F333))</x:f>
      </x:c>
      <x:c r="I333" t="str">
        <x:f>IF(OR(F333="",G333=""),"",F333-G333)</x:f>
      </x:c>
      <x:c r="J333" t="str">
        <x:f>IF(E333="","",IFERROR((I333/LOOKUP(2,1/($E$5:E332=E333),$I$5:I332))-1,""))</x:f>
      </x:c>
      <x:c r="K333" t="str">
        <x:f>IF(E333="","",IFERROR(IF(B333&lt;&gt;LOOKUP(2,1/($E$5:E332=E333),$B$5:B332),"Ranking change",""),""))</x:f>
      </x:c>
    </x:row>
    <x:row r="334">
      <x:c r="H334" t="str">
        <x:f>IF(OR(F334="",G334=""),"",IF(F334=0,"",G334/F334))</x:f>
      </x:c>
      <x:c r="I334" t="str">
        <x:f>IF(OR(F334="",G334=""),"",F334-G334)</x:f>
      </x:c>
      <x:c r="J334" t="str">
        <x:f>IF(E334="","",IFERROR((I334/LOOKUP(2,1/($E$5:E333=E334),$I$5:I333))-1,""))</x:f>
      </x:c>
      <x:c r="K334" t="str">
        <x:f>IF(E334="","",IFERROR(IF(B334&lt;&gt;LOOKUP(2,1/($E$5:E333=E334),$B$5:B333),"Ranking change",""),""))</x:f>
      </x:c>
    </x:row>
    <x:row r="335">
      <x:c r="H335" t="str">
        <x:f>IF(OR(F335="",G335=""),"",IF(F335=0,"",G335/F335))</x:f>
      </x:c>
      <x:c r="I335" t="str">
        <x:f>IF(OR(F335="",G335=""),"",F335-G335)</x:f>
      </x:c>
      <x:c r="J335" t="str">
        <x:f>IF(E335="","",IFERROR((I335/LOOKUP(2,1/($E$5:E334=E335),$I$5:I334))-1,""))</x:f>
      </x:c>
      <x:c r="K335" t="str">
        <x:f>IF(E335="","",IFERROR(IF(B335&lt;&gt;LOOKUP(2,1/($E$5:E334=E335),$B$5:B334),"Ranking change",""),""))</x:f>
      </x:c>
    </x:row>
    <x:row r="336">
      <x:c r="H336" t="str">
        <x:f>IF(OR(F336="",G336=""),"",IF(F336=0,"",G336/F336))</x:f>
      </x:c>
      <x:c r="I336" t="str">
        <x:f>IF(OR(F336="",G336=""),"",F336-G336)</x:f>
      </x:c>
      <x:c r="J336" t="str">
        <x:f>IF(E336="","",IFERROR((I336/LOOKUP(2,1/($E$5:E335=E336),$I$5:I335))-1,""))</x:f>
      </x:c>
      <x:c r="K336" t="str">
        <x:f>IF(E336="","",IFERROR(IF(B336&lt;&gt;LOOKUP(2,1/($E$5:E335=E336),$B$5:B335),"Ranking change",""),""))</x:f>
      </x:c>
    </x:row>
    <x:row r="337">
      <x:c r="H337" t="str">
        <x:f>IF(OR(F337="",G337=""),"",IF(F337=0,"",G337/F337))</x:f>
      </x:c>
      <x:c r="I337" t="str">
        <x:f>IF(OR(F337="",G337=""),"",F337-G337)</x:f>
      </x:c>
      <x:c r="J337" t="str">
        <x:f>IF(E337="","",IFERROR((I337/LOOKUP(2,1/($E$5:E336=E337),$I$5:I336))-1,""))</x:f>
      </x:c>
      <x:c r="K337" t="str">
        <x:f>IF(E337="","",IFERROR(IF(B337&lt;&gt;LOOKUP(2,1/($E$5:E336=E337),$B$5:B336),"Ranking change",""),""))</x:f>
      </x:c>
    </x:row>
    <x:row r="338">
      <x:c r="H338" t="str">
        <x:f>IF(OR(F338="",G338=""),"",IF(F338=0,"",G338/F338))</x:f>
      </x:c>
      <x:c r="I338" t="str">
        <x:f>IF(OR(F338="",G338=""),"",F338-G338)</x:f>
      </x:c>
      <x:c r="J338" t="str">
        <x:f>IF(E338="","",IFERROR((I338/LOOKUP(2,1/($E$5:E337=E338),$I$5:I337))-1,""))</x:f>
      </x:c>
      <x:c r="K338" t="str">
        <x:f>IF(E338="","",IFERROR(IF(B338&lt;&gt;LOOKUP(2,1/($E$5:E337=E338),$B$5:B337),"Ranking change",""),""))</x:f>
      </x:c>
    </x:row>
    <x:row r="339">
      <x:c r="H339" t="str">
        <x:f>IF(OR(F339="",G339=""),"",IF(F339=0,"",G339/F339))</x:f>
      </x:c>
      <x:c r="I339" t="str">
        <x:f>IF(OR(F339="",G339=""),"",F339-G339)</x:f>
      </x:c>
      <x:c r="J339" t="str">
        <x:f>IF(E339="","",IFERROR((I339/LOOKUP(2,1/($E$5:E338=E339),$I$5:I338))-1,""))</x:f>
      </x:c>
      <x:c r="K339" t="str">
        <x:f>IF(E339="","",IFERROR(IF(B339&lt;&gt;LOOKUP(2,1/($E$5:E338=E339),$B$5:B338),"Ranking change",""),""))</x:f>
      </x:c>
    </x:row>
    <x:row r="340">
      <x:c r="H340" t="str">
        <x:f>IF(OR(F340="",G340=""),"",IF(F340=0,"",G340/F340))</x:f>
      </x:c>
      <x:c r="I340" t="str">
        <x:f>IF(OR(F340="",G340=""),"",F340-G340)</x:f>
      </x:c>
      <x:c r="J340" t="str">
        <x:f>IF(E340="","",IFERROR((I340/LOOKUP(2,1/($E$5:E339=E340),$I$5:I339))-1,""))</x:f>
      </x:c>
      <x:c r="K340" t="str">
        <x:f>IF(E340="","",IFERROR(IF(B340&lt;&gt;LOOKUP(2,1/($E$5:E339=E340),$B$5:B339),"Ranking change",""),""))</x:f>
      </x:c>
    </x:row>
    <x:row r="341">
      <x:c r="H341" t="str">
        <x:f>IF(OR(F341="",G341=""),"",IF(F341=0,"",G341/F341))</x:f>
      </x:c>
      <x:c r="I341" t="str">
        <x:f>IF(OR(F341="",G341=""),"",F341-G341)</x:f>
      </x:c>
      <x:c r="J341" t="str">
        <x:f>IF(E341="","",IFERROR((I341/LOOKUP(2,1/($E$5:E340=E341),$I$5:I340))-1,""))</x:f>
      </x:c>
      <x:c r="K341" t="str">
        <x:f>IF(E341="","",IFERROR(IF(B341&lt;&gt;LOOKUP(2,1/($E$5:E340=E341),$B$5:B340),"Ranking change",""),""))</x:f>
      </x:c>
    </x:row>
    <x:row r="342">
      <x:c r="H342" t="str">
        <x:f>IF(OR(F342="",G342=""),"",IF(F342=0,"",G342/F342))</x:f>
      </x:c>
      <x:c r="I342" t="str">
        <x:f>IF(OR(F342="",G342=""),"",F342-G342)</x:f>
      </x:c>
      <x:c r="J342" t="str">
        <x:f>IF(E342="","",IFERROR((I342/LOOKUP(2,1/($E$5:E341=E342),$I$5:I341))-1,""))</x:f>
      </x:c>
      <x:c r="K342" t="str">
        <x:f>IF(E342="","",IFERROR(IF(B342&lt;&gt;LOOKUP(2,1/($E$5:E341=E342),$B$5:B341),"Ranking change",""),""))</x:f>
      </x:c>
    </x:row>
    <x:row r="343">
      <x:c r="H343" t="str">
        <x:f>IF(OR(F343="",G343=""),"",IF(F343=0,"",G343/F343))</x:f>
      </x:c>
      <x:c r="I343" t="str">
        <x:f>IF(OR(F343="",G343=""),"",F343-G343)</x:f>
      </x:c>
      <x:c r="J343" t="str">
        <x:f>IF(E343="","",IFERROR((I343/LOOKUP(2,1/($E$5:E342=E343),$I$5:I342))-1,""))</x:f>
      </x:c>
      <x:c r="K343" t="str">
        <x:f>IF(E343="","",IFERROR(IF(B343&lt;&gt;LOOKUP(2,1/($E$5:E342=E343),$B$5:B342),"Ranking change",""),""))</x:f>
      </x:c>
    </x:row>
    <x:row r="344">
      <x:c r="H344" t="str">
        <x:f>IF(OR(F344="",G344=""),"",IF(F344=0,"",G344/F344))</x:f>
      </x:c>
      <x:c r="I344" t="str">
        <x:f>IF(OR(F344="",G344=""),"",F344-G344)</x:f>
      </x:c>
      <x:c r="J344" t="str">
        <x:f>IF(E344="","",IFERROR((I344/LOOKUP(2,1/($E$5:E343=E344),$I$5:I343))-1,""))</x:f>
      </x:c>
      <x:c r="K344" t="str">
        <x:f>IF(E344="","",IFERROR(IF(B344&lt;&gt;LOOKUP(2,1/($E$5:E343=E344),$B$5:B343),"Ranking change",""),""))</x:f>
      </x:c>
    </x:row>
    <x:row r="345">
      <x:c r="H345" t="str">
        <x:f>IF(OR(F345="",G345=""),"",IF(F345=0,"",G345/F345))</x:f>
      </x:c>
      <x:c r="I345" t="str">
        <x:f>IF(OR(F345="",G345=""),"",F345-G345)</x:f>
      </x:c>
      <x:c r="J345" t="str">
        <x:f>IF(E345="","",IFERROR((I345/LOOKUP(2,1/($E$5:E344=E345),$I$5:I344))-1,""))</x:f>
      </x:c>
      <x:c r="K345" t="str">
        <x:f>IF(E345="","",IFERROR(IF(B345&lt;&gt;LOOKUP(2,1/($E$5:E344=E345),$B$5:B344),"Ranking change",""),""))</x:f>
      </x:c>
    </x:row>
    <x:row r="346">
      <x:c r="H346" t="str">
        <x:f>IF(OR(F346="",G346=""),"",IF(F346=0,"",G346/F346))</x:f>
      </x:c>
      <x:c r="I346" t="str">
        <x:f>IF(OR(F346="",G346=""),"",F346-G346)</x:f>
      </x:c>
      <x:c r="J346" t="str">
        <x:f>IF(E346="","",IFERROR((I346/LOOKUP(2,1/($E$5:E345=E346),$I$5:I345))-1,""))</x:f>
      </x:c>
      <x:c r="K346" t="str">
        <x:f>IF(E346="","",IFERROR(IF(B346&lt;&gt;LOOKUP(2,1/($E$5:E345=E346),$B$5:B345),"Ranking change",""),""))</x:f>
      </x:c>
    </x:row>
    <x:row r="347">
      <x:c r="H347" t="str">
        <x:f>IF(OR(F347="",G347=""),"",IF(F347=0,"",G347/F347))</x:f>
      </x:c>
      <x:c r="I347" t="str">
        <x:f>IF(OR(F347="",G347=""),"",F347-G347)</x:f>
      </x:c>
      <x:c r="J347" t="str">
        <x:f>IF(E347="","",IFERROR((I347/LOOKUP(2,1/($E$5:E346=E347),$I$5:I346))-1,""))</x:f>
      </x:c>
      <x:c r="K347" t="str">
        <x:f>IF(E347="","",IFERROR(IF(B347&lt;&gt;LOOKUP(2,1/($E$5:E346=E347),$B$5:B346),"Ranking change",""),""))</x:f>
      </x:c>
    </x:row>
    <x:row r="348">
      <x:c r="H348" t="str">
        <x:f>IF(OR(F348="",G348=""),"",IF(F348=0,"",G348/F348))</x:f>
      </x:c>
      <x:c r="I348" t="str">
        <x:f>IF(OR(F348="",G348=""),"",F348-G348)</x:f>
      </x:c>
      <x:c r="J348" t="str">
        <x:f>IF(E348="","",IFERROR((I348/LOOKUP(2,1/($E$5:E347=E348),$I$5:I347))-1,""))</x:f>
      </x:c>
      <x:c r="K348" t="str">
        <x:f>IF(E348="","",IFERROR(IF(B348&lt;&gt;LOOKUP(2,1/($E$5:E347=E348),$B$5:B347),"Ranking change",""),""))</x:f>
      </x:c>
    </x:row>
    <x:row r="349">
      <x:c r="H349" t="str">
        <x:f>IF(OR(F349="",G349=""),"",IF(F349=0,"",G349/F349))</x:f>
      </x:c>
      <x:c r="I349" t="str">
        <x:f>IF(OR(F349="",G349=""),"",F349-G349)</x:f>
      </x:c>
      <x:c r="J349" t="str">
        <x:f>IF(E349="","",IFERROR((I349/LOOKUP(2,1/($E$5:E348=E349),$I$5:I348))-1,""))</x:f>
      </x:c>
      <x:c r="K349" t="str">
        <x:f>IF(E349="","",IFERROR(IF(B349&lt;&gt;LOOKUP(2,1/($E$5:E348=E349),$B$5:B348),"Ranking change",""),""))</x:f>
      </x:c>
    </x:row>
    <x:row r="350">
      <x:c r="H350" t="str">
        <x:f>IF(OR(F350="",G350=""),"",IF(F350=0,"",G350/F350))</x:f>
      </x:c>
      <x:c r="I350" t="str">
        <x:f>IF(OR(F350="",G350=""),"",F350-G350)</x:f>
      </x:c>
      <x:c r="J350" t="str">
        <x:f>IF(E350="","",IFERROR((I350/LOOKUP(2,1/($E$5:E349=E350),$I$5:I349))-1,""))</x:f>
      </x:c>
      <x:c r="K350" t="str">
        <x:f>IF(E350="","",IFERROR(IF(B350&lt;&gt;LOOKUP(2,1/($E$5:E349=E350),$B$5:B349),"Ranking change",""),""))</x:f>
      </x:c>
    </x:row>
    <x:row r="351">
      <x:c r="H351" t="str">
        <x:f>IF(OR(F351="",G351=""),"",IF(F351=0,"",G351/F351))</x:f>
      </x:c>
      <x:c r="I351" t="str">
        <x:f>IF(OR(F351="",G351=""),"",F351-G351)</x:f>
      </x:c>
      <x:c r="J351" t="str">
        <x:f>IF(E351="","",IFERROR((I351/LOOKUP(2,1/($E$5:E350=E351),$I$5:I350))-1,""))</x:f>
      </x:c>
      <x:c r="K351" t="str">
        <x:f>IF(E351="","",IFERROR(IF(B351&lt;&gt;LOOKUP(2,1/($E$5:E350=E351),$B$5:B350),"Ranking change",""),""))</x:f>
      </x:c>
    </x:row>
    <x:row r="352">
      <x:c r="H352" t="str">
        <x:f>IF(OR(F352="",G352=""),"",IF(F352=0,"",G352/F352))</x:f>
      </x:c>
      <x:c r="I352" t="str">
        <x:f>IF(OR(F352="",G352=""),"",F352-G352)</x:f>
      </x:c>
      <x:c r="J352" t="str">
        <x:f>IF(E352="","",IFERROR((I352/LOOKUP(2,1/($E$5:E351=E352),$I$5:I351))-1,""))</x:f>
      </x:c>
      <x:c r="K352" t="str">
        <x:f>IF(E352="","",IFERROR(IF(B352&lt;&gt;LOOKUP(2,1/($E$5:E351=E352),$B$5:B351),"Ranking change",""),""))</x:f>
      </x:c>
    </x:row>
    <x:row r="353">
      <x:c r="H353" t="str">
        <x:f>IF(OR(F353="",G353=""),"",IF(F353=0,"",G353/F353))</x:f>
      </x:c>
      <x:c r="I353" t="str">
        <x:f>IF(OR(F353="",G353=""),"",F353-G353)</x:f>
      </x:c>
      <x:c r="J353" t="str">
        <x:f>IF(E353="","",IFERROR((I353/LOOKUP(2,1/($E$5:E352=E353),$I$5:I352))-1,""))</x:f>
      </x:c>
      <x:c r="K353" t="str">
        <x:f>IF(E353="","",IFERROR(IF(B353&lt;&gt;LOOKUP(2,1/($E$5:E352=E353),$B$5:B352),"Ranking change",""),""))</x:f>
      </x:c>
    </x:row>
    <x:row r="354">
      <x:c r="H354" t="str">
        <x:f>IF(OR(F354="",G354=""),"",IF(F354=0,"",G354/F354))</x:f>
      </x:c>
      <x:c r="I354" t="str">
        <x:f>IF(OR(F354="",G354=""),"",F354-G354)</x:f>
      </x:c>
      <x:c r="J354" t="str">
        <x:f>IF(E354="","",IFERROR((I354/LOOKUP(2,1/($E$5:E353=E354),$I$5:I353))-1,""))</x:f>
      </x:c>
      <x:c r="K354" t="str">
        <x:f>IF(E354="","",IFERROR(IF(B354&lt;&gt;LOOKUP(2,1/($E$5:E353=E354),$B$5:B353),"Ranking change",""),""))</x:f>
      </x:c>
    </x:row>
    <x:row r="355">
      <x:c r="H355" t="str">
        <x:f>IF(OR(F355="",G355=""),"",IF(F355=0,"",G355/F355))</x:f>
      </x:c>
      <x:c r="I355" t="str">
        <x:f>IF(OR(F355="",G355=""),"",F355-G355)</x:f>
      </x:c>
      <x:c r="J355" t="str">
        <x:f>IF(E355="","",IFERROR((I355/LOOKUP(2,1/($E$5:E354=E355),$I$5:I354))-1,""))</x:f>
      </x:c>
      <x:c r="K355" t="str">
        <x:f>IF(E355="","",IFERROR(IF(B355&lt;&gt;LOOKUP(2,1/($E$5:E354=E355),$B$5:B354),"Ranking change",""),""))</x:f>
      </x:c>
    </x:row>
    <x:row r="356">
      <x:c r="H356" t="str">
        <x:f>IF(OR(F356="",G356=""),"",IF(F356=0,"",G356/F356))</x:f>
      </x:c>
      <x:c r="I356" t="str">
        <x:f>IF(OR(F356="",G356=""),"",F356-G356)</x:f>
      </x:c>
      <x:c r="J356" t="str">
        <x:f>IF(E356="","",IFERROR((I356/LOOKUP(2,1/($E$5:E355=E356),$I$5:I355))-1,""))</x:f>
      </x:c>
      <x:c r="K356" t="str">
        <x:f>IF(E356="","",IFERROR(IF(B356&lt;&gt;LOOKUP(2,1/($E$5:E355=E356),$B$5:B355),"Ranking change",""),""))</x:f>
      </x:c>
    </x:row>
    <x:row r="357">
      <x:c r="H357" t="str">
        <x:f>IF(OR(F357="",G357=""),"",IF(F357=0,"",G357/F357))</x:f>
      </x:c>
      <x:c r="I357" t="str">
        <x:f>IF(OR(F357="",G357=""),"",F357-G357)</x:f>
      </x:c>
      <x:c r="J357" t="str">
        <x:f>IF(E357="","",IFERROR((I357/LOOKUP(2,1/($E$5:E356=E357),$I$5:I356))-1,""))</x:f>
      </x:c>
      <x:c r="K357" t="str">
        <x:f>IF(E357="","",IFERROR(IF(B357&lt;&gt;LOOKUP(2,1/($E$5:E356=E357),$B$5:B356),"Ranking change",""),""))</x:f>
      </x:c>
    </x:row>
    <x:row r="358">
      <x:c r="H358" t="str">
        <x:f>IF(OR(F358="",G358=""),"",IF(F358=0,"",G358/F358))</x:f>
      </x:c>
      <x:c r="I358" t="str">
        <x:f>IF(OR(F358="",G358=""),"",F358-G358)</x:f>
      </x:c>
      <x:c r="J358" t="str">
        <x:f>IF(E358="","",IFERROR((I358/LOOKUP(2,1/($E$5:E357=E358),$I$5:I357))-1,""))</x:f>
      </x:c>
      <x:c r="K358" t="str">
        <x:f>IF(E358="","",IFERROR(IF(B358&lt;&gt;LOOKUP(2,1/($E$5:E357=E358),$B$5:B357),"Ranking change",""),""))</x:f>
      </x:c>
    </x:row>
    <x:row r="359">
      <x:c r="H359" t="str">
        <x:f>IF(OR(F359="",G359=""),"",IF(F359=0,"",G359/F359))</x:f>
      </x:c>
      <x:c r="I359" t="str">
        <x:f>IF(OR(F359="",G359=""),"",F359-G359)</x:f>
      </x:c>
      <x:c r="J359" t="str">
        <x:f>IF(E359="","",IFERROR((I359/LOOKUP(2,1/($E$5:E358=E359),$I$5:I358))-1,""))</x:f>
      </x:c>
      <x:c r="K359" t="str">
        <x:f>IF(E359="","",IFERROR(IF(B359&lt;&gt;LOOKUP(2,1/($E$5:E358=E359),$B$5:B358),"Ranking change",""),""))</x:f>
      </x:c>
    </x:row>
    <x:row r="360">
      <x:c r="H360" t="str">
        <x:f>IF(OR(F360="",G360=""),"",IF(F360=0,"",G360/F360))</x:f>
      </x:c>
      <x:c r="I360" t="str">
        <x:f>IF(OR(F360="",G360=""),"",F360-G360)</x:f>
      </x:c>
      <x:c r="J360" t="str">
        <x:f>IF(E360="","",IFERROR((I360/LOOKUP(2,1/($E$5:E359=E360),$I$5:I359))-1,""))</x:f>
      </x:c>
      <x:c r="K360" t="str">
        <x:f>IF(E360="","",IFERROR(IF(B360&lt;&gt;LOOKUP(2,1/($E$5:E359=E360),$B$5:B359),"Ranking change",""),""))</x:f>
      </x:c>
    </x:row>
    <x:row r="361">
      <x:c r="H361" t="str">
        <x:f>IF(OR(F361="",G361=""),"",IF(F361=0,"",G361/F361))</x:f>
      </x:c>
      <x:c r="I361" t="str">
        <x:f>IF(OR(F361="",G361=""),"",F361-G361)</x:f>
      </x:c>
      <x:c r="J361" t="str">
        <x:f>IF(E361="","",IFERROR((I361/LOOKUP(2,1/($E$5:E360=E361),$I$5:I360))-1,""))</x:f>
      </x:c>
      <x:c r="K361" t="str">
        <x:f>IF(E361="","",IFERROR(IF(B361&lt;&gt;LOOKUP(2,1/($E$5:E360=E361),$B$5:B360),"Ranking change",""),""))</x:f>
      </x:c>
    </x:row>
    <x:row r="362">
      <x:c r="H362" t="str">
        <x:f>IF(OR(F362="",G362=""),"",IF(F362=0,"",G362/F362))</x:f>
      </x:c>
      <x:c r="I362" t="str">
        <x:f>IF(OR(F362="",G362=""),"",F362-G362)</x:f>
      </x:c>
      <x:c r="J362" t="str">
        <x:f>IF(E362="","",IFERROR((I362/LOOKUP(2,1/($E$5:E361=E362),$I$5:I361))-1,""))</x:f>
      </x:c>
      <x:c r="K362" t="str">
        <x:f>IF(E362="","",IFERROR(IF(B362&lt;&gt;LOOKUP(2,1/($E$5:E361=E362),$B$5:B361),"Ranking change",""),""))</x:f>
      </x:c>
    </x:row>
    <x:row r="363">
      <x:c r="H363" t="str">
        <x:f>IF(OR(F363="",G363=""),"",IF(F363=0,"",G363/F363))</x:f>
      </x:c>
      <x:c r="I363" t="str">
        <x:f>IF(OR(F363="",G363=""),"",F363-G363)</x:f>
      </x:c>
      <x:c r="J363" t="str">
        <x:f>IF(E363="","",IFERROR((I363/LOOKUP(2,1/($E$5:E362=E363),$I$5:I362))-1,""))</x:f>
      </x:c>
      <x:c r="K363" t="str">
        <x:f>IF(E363="","",IFERROR(IF(B363&lt;&gt;LOOKUP(2,1/($E$5:E362=E363),$B$5:B362),"Ranking change",""),""))</x:f>
      </x:c>
    </x:row>
    <x:row r="364">
      <x:c r="H364" t="str">
        <x:f>IF(OR(F364="",G364=""),"",IF(F364=0,"",G364/F364))</x:f>
      </x:c>
      <x:c r="I364" t="str">
        <x:f>IF(OR(F364="",G364=""),"",F364-G364)</x:f>
      </x:c>
      <x:c r="J364" t="str">
        <x:f>IF(E364="","",IFERROR((I364/LOOKUP(2,1/($E$5:E363=E364),$I$5:I363))-1,""))</x:f>
      </x:c>
      <x:c r="K364" t="str">
        <x:f>IF(E364="","",IFERROR(IF(B364&lt;&gt;LOOKUP(2,1/($E$5:E363=E364),$B$5:B363),"Ranking change",""),""))</x:f>
      </x:c>
    </x:row>
    <x:row r="365">
      <x:c r="H365" t="str">
        <x:f>IF(OR(F365="",G365=""),"",IF(F365=0,"",G365/F365))</x:f>
      </x:c>
      <x:c r="I365" t="str">
        <x:f>IF(OR(F365="",G365=""),"",F365-G365)</x:f>
      </x:c>
      <x:c r="J365" t="str">
        <x:f>IF(E365="","",IFERROR((I365/LOOKUP(2,1/($E$5:E364=E365),$I$5:I364))-1,""))</x:f>
      </x:c>
      <x:c r="K365" t="str">
        <x:f>IF(E365="","",IFERROR(IF(B365&lt;&gt;LOOKUP(2,1/($E$5:E364=E365),$B$5:B364),"Ranking change",""),""))</x:f>
      </x:c>
    </x:row>
    <x:row r="366">
      <x:c r="H366" t="str">
        <x:f>IF(OR(F366="",G366=""),"",IF(F366=0,"",G366/F366))</x:f>
      </x:c>
      <x:c r="I366" t="str">
        <x:f>IF(OR(F366="",G366=""),"",F366-G366)</x:f>
      </x:c>
      <x:c r="J366" t="str">
        <x:f>IF(E366="","",IFERROR((I366/LOOKUP(2,1/($E$5:E365=E366),$I$5:I365))-1,""))</x:f>
      </x:c>
      <x:c r="K366" t="str">
        <x:f>IF(E366="","",IFERROR(IF(B366&lt;&gt;LOOKUP(2,1/($E$5:E365=E366),$B$5:B365),"Ranking change",""),""))</x:f>
      </x:c>
    </x:row>
    <x:row r="367">
      <x:c r="H367" t="str">
        <x:f>IF(OR(F367="",G367=""),"",IF(F367=0,"",G367/F367))</x:f>
      </x:c>
      <x:c r="I367" t="str">
        <x:f>IF(OR(F367="",G367=""),"",F367-G367)</x:f>
      </x:c>
      <x:c r="J367" t="str">
        <x:f>IF(E367="","",IFERROR((I367/LOOKUP(2,1/($E$5:E366=E367),$I$5:I366))-1,""))</x:f>
      </x:c>
      <x:c r="K367" t="str">
        <x:f>IF(E367="","",IFERROR(IF(B367&lt;&gt;LOOKUP(2,1/($E$5:E366=E367),$B$5:B366),"Ranking change",""),""))</x:f>
      </x:c>
    </x:row>
    <x:row r="368">
      <x:c r="H368" t="str">
        <x:f>IF(OR(F368="",G368=""),"",IF(F368=0,"",G368/F368))</x:f>
      </x:c>
      <x:c r="I368" t="str">
        <x:f>IF(OR(F368="",G368=""),"",F368-G368)</x:f>
      </x:c>
      <x:c r="J368" t="str">
        <x:f>IF(E368="","",IFERROR((I368/LOOKUP(2,1/($E$5:E367=E368),$I$5:I367))-1,""))</x:f>
      </x:c>
      <x:c r="K368" t="str">
        <x:f>IF(E368="","",IFERROR(IF(B368&lt;&gt;LOOKUP(2,1/($E$5:E367=E368),$B$5:B367),"Ranking change",""),""))</x:f>
      </x:c>
    </x:row>
    <x:row r="369">
      <x:c r="H369" t="str">
        <x:f>IF(OR(F369="",G369=""),"",IF(F369=0,"",G369/F369))</x:f>
      </x:c>
      <x:c r="I369" t="str">
        <x:f>IF(OR(F369="",G369=""),"",F369-G369)</x:f>
      </x:c>
      <x:c r="J369" t="str">
        <x:f>IF(E369="","",IFERROR((I369/LOOKUP(2,1/($E$5:E368=E369),$I$5:I368))-1,""))</x:f>
      </x:c>
      <x:c r="K369" t="str">
        <x:f>IF(E369="","",IFERROR(IF(B369&lt;&gt;LOOKUP(2,1/($E$5:E368=E369),$B$5:B368),"Ranking change",""),""))</x:f>
      </x:c>
    </x:row>
    <x:row r="370">
      <x:c r="H370" t="str">
        <x:f>IF(OR(F370="",G370=""),"",IF(F370=0,"",G370/F370))</x:f>
      </x:c>
      <x:c r="I370" t="str">
        <x:f>IF(OR(F370="",G370=""),"",F370-G370)</x:f>
      </x:c>
      <x:c r="J370" t="str">
        <x:f>IF(E370="","",IFERROR((I370/LOOKUP(2,1/($E$5:E369=E370),$I$5:I369))-1,""))</x:f>
      </x:c>
      <x:c r="K370" t="str">
        <x:f>IF(E370="","",IFERROR(IF(B370&lt;&gt;LOOKUP(2,1/($E$5:E369=E370),$B$5:B369),"Ranking change",""),""))</x:f>
      </x:c>
    </x:row>
    <x:row r="371">
      <x:c r="H371" t="str">
        <x:f>IF(OR(F371="",G371=""),"",IF(F371=0,"",G371/F371))</x:f>
      </x:c>
      <x:c r="I371" t="str">
        <x:f>IF(OR(F371="",G371=""),"",F371-G371)</x:f>
      </x:c>
      <x:c r="J371" t="str">
        <x:f>IF(E371="","",IFERROR((I371/LOOKUP(2,1/($E$5:E370=E371),$I$5:I370))-1,""))</x:f>
      </x:c>
      <x:c r="K371" t="str">
        <x:f>IF(E371="","",IFERROR(IF(B371&lt;&gt;LOOKUP(2,1/($E$5:E370=E371),$B$5:B370),"Ranking change",""),""))</x:f>
      </x:c>
    </x:row>
    <x:row r="372">
      <x:c r="H372" t="str">
        <x:f>IF(OR(F372="",G372=""),"",IF(F372=0,"",G372/F372))</x:f>
      </x:c>
      <x:c r="I372" t="str">
        <x:f>IF(OR(F372="",G372=""),"",F372-G372)</x:f>
      </x:c>
      <x:c r="J372" t="str">
        <x:f>IF(E372="","",IFERROR((I372/LOOKUP(2,1/($E$5:E371=E372),$I$5:I371))-1,""))</x:f>
      </x:c>
      <x:c r="K372" t="str">
        <x:f>IF(E372="","",IFERROR(IF(B372&lt;&gt;LOOKUP(2,1/($E$5:E371=E372),$B$5:B371),"Ranking change",""),""))</x:f>
      </x:c>
    </x:row>
    <x:row r="373">
      <x:c r="H373" t="str">
        <x:f>IF(OR(F373="",G373=""),"",IF(F373=0,"",G373/F373))</x:f>
      </x:c>
      <x:c r="I373" t="str">
        <x:f>IF(OR(F373="",G373=""),"",F373-G373)</x:f>
      </x:c>
      <x:c r="J373" t="str">
        <x:f>IF(E373="","",IFERROR((I373/LOOKUP(2,1/($E$5:E372=E373),$I$5:I372))-1,""))</x:f>
      </x:c>
      <x:c r="K373" t="str">
        <x:f>IF(E373="","",IFERROR(IF(B373&lt;&gt;LOOKUP(2,1/($E$5:E372=E373),$B$5:B372),"Ranking change",""),""))</x:f>
      </x:c>
    </x:row>
    <x:row r="374">
      <x:c r="H374" t="str">
        <x:f>IF(OR(F374="",G374=""),"",IF(F374=0,"",G374/F374))</x:f>
      </x:c>
      <x:c r="I374" t="str">
        <x:f>IF(OR(F374="",G374=""),"",F374-G374)</x:f>
      </x:c>
      <x:c r="J374" t="str">
        <x:f>IF(E374="","",IFERROR((I374/LOOKUP(2,1/($E$5:E373=E374),$I$5:I373))-1,""))</x:f>
      </x:c>
      <x:c r="K374" t="str">
        <x:f>IF(E374="","",IFERROR(IF(B374&lt;&gt;LOOKUP(2,1/($E$5:E373=E374),$B$5:B373),"Ranking change",""),""))</x:f>
      </x:c>
    </x:row>
    <x:row r="375">
      <x:c r="H375" t="str">
        <x:f>IF(OR(F375="",G375=""),"",IF(F375=0,"",G375/F375))</x:f>
      </x:c>
      <x:c r="I375" t="str">
        <x:f>IF(OR(F375="",G375=""),"",F375-G375)</x:f>
      </x:c>
      <x:c r="J375" t="str">
        <x:f>IF(E375="","",IFERROR((I375/LOOKUP(2,1/($E$5:E374=E375),$I$5:I374))-1,""))</x:f>
      </x:c>
      <x:c r="K375" t="str">
        <x:f>IF(E375="","",IFERROR(IF(B375&lt;&gt;LOOKUP(2,1/($E$5:E374=E375),$B$5:B374),"Ranking change",""),""))</x:f>
      </x:c>
    </x:row>
    <x:row r="376">
      <x:c r="H376" t="str">
        <x:f>IF(OR(F376="",G376=""),"",IF(F376=0,"",G376/F376))</x:f>
      </x:c>
      <x:c r="I376" t="str">
        <x:f>IF(OR(F376="",G376=""),"",F376-G376)</x:f>
      </x:c>
      <x:c r="J376" t="str">
        <x:f>IF(E376="","",IFERROR((I376/LOOKUP(2,1/($E$5:E375=E376),$I$5:I375))-1,""))</x:f>
      </x:c>
      <x:c r="K376" t="str">
        <x:f>IF(E376="","",IFERROR(IF(B376&lt;&gt;LOOKUP(2,1/($E$5:E375=E376),$B$5:B375),"Ranking change",""),""))</x:f>
      </x:c>
    </x:row>
    <x:row r="377">
      <x:c r="H377" t="str">
        <x:f>IF(OR(F377="",G377=""),"",IF(F377=0,"",G377/F377))</x:f>
      </x:c>
      <x:c r="I377" t="str">
        <x:f>IF(OR(F377="",G377=""),"",F377-G377)</x:f>
      </x:c>
      <x:c r="J377" t="str">
        <x:f>IF(E377="","",IFERROR((I377/LOOKUP(2,1/($E$5:E376=E377),$I$5:I376))-1,""))</x:f>
      </x:c>
      <x:c r="K377" t="str">
        <x:f>IF(E377="","",IFERROR(IF(B377&lt;&gt;LOOKUP(2,1/($E$5:E376=E377),$B$5:B376),"Ranking change",""),""))</x:f>
      </x:c>
    </x:row>
    <x:row r="378">
      <x:c r="H378" t="str">
        <x:f>IF(OR(F378="",G378=""),"",IF(F378=0,"",G378/F378))</x:f>
      </x:c>
      <x:c r="I378" t="str">
        <x:f>IF(OR(F378="",G378=""),"",F378-G378)</x:f>
      </x:c>
      <x:c r="J378" t="str">
        <x:f>IF(E378="","",IFERROR((I378/LOOKUP(2,1/($E$5:E377=E378),$I$5:I377))-1,""))</x:f>
      </x:c>
      <x:c r="K378" t="str">
        <x:f>IF(E378="","",IFERROR(IF(B378&lt;&gt;LOOKUP(2,1/($E$5:E377=E378),$B$5:B377),"Ranking change",""),""))</x:f>
      </x:c>
    </x:row>
    <x:row r="379">
      <x:c r="H379" t="str">
        <x:f>IF(OR(F379="",G379=""),"",IF(F379=0,"",G379/F379))</x:f>
      </x:c>
      <x:c r="I379" t="str">
        <x:f>IF(OR(F379="",G379=""),"",F379-G379)</x:f>
      </x:c>
      <x:c r="J379" t="str">
        <x:f>IF(E379="","",IFERROR((I379/LOOKUP(2,1/($E$5:E378=E379),$I$5:I378))-1,""))</x:f>
      </x:c>
      <x:c r="K379" t="str">
        <x:f>IF(E379="","",IFERROR(IF(B379&lt;&gt;LOOKUP(2,1/($E$5:E378=E379),$B$5:B378),"Ranking change",""),""))</x:f>
      </x:c>
    </x:row>
    <x:row r="380">
      <x:c r="H380" t="str">
        <x:f>IF(OR(F380="",G380=""),"",IF(F380=0,"",G380/F380))</x:f>
      </x:c>
      <x:c r="I380" t="str">
        <x:f>IF(OR(F380="",G380=""),"",F380-G380)</x:f>
      </x:c>
      <x:c r="J380" t="str">
        <x:f>IF(E380="","",IFERROR((I380/LOOKUP(2,1/($E$5:E379=E380),$I$5:I379))-1,""))</x:f>
      </x:c>
      <x:c r="K380" t="str">
        <x:f>IF(E380="","",IFERROR(IF(B380&lt;&gt;LOOKUP(2,1/($E$5:E379=E380),$B$5:B379),"Ranking change",""),""))</x:f>
      </x:c>
    </x:row>
    <x:row r="381">
      <x:c r="H381" t="str">
        <x:f>IF(OR(F381="",G381=""),"",IF(F381=0,"",G381/F381))</x:f>
      </x:c>
      <x:c r="I381" t="str">
        <x:f>IF(OR(F381="",G381=""),"",F381-G381)</x:f>
      </x:c>
      <x:c r="J381" t="str">
        <x:f>IF(E381="","",IFERROR((I381/LOOKUP(2,1/($E$5:E380=E381),$I$5:I380))-1,""))</x:f>
      </x:c>
      <x:c r="K381" t="str">
        <x:f>IF(E381="","",IFERROR(IF(B381&lt;&gt;LOOKUP(2,1/($E$5:E380=E381),$B$5:B380),"Ranking change",""),""))</x:f>
      </x:c>
    </x:row>
    <x:row r="382">
      <x:c r="H382" t="str">
        <x:f>IF(OR(F382="",G382=""),"",IF(F382=0,"",G382/F382))</x:f>
      </x:c>
      <x:c r="I382" t="str">
        <x:f>IF(OR(F382="",G382=""),"",F382-G382)</x:f>
      </x:c>
      <x:c r="J382" t="str">
        <x:f>IF(E382="","",IFERROR((I382/LOOKUP(2,1/($E$5:E381=E382),$I$5:I381))-1,""))</x:f>
      </x:c>
      <x:c r="K382" t="str">
        <x:f>IF(E382="","",IFERROR(IF(B382&lt;&gt;LOOKUP(2,1/($E$5:E381=E382),$B$5:B381),"Ranking change",""),""))</x:f>
      </x:c>
    </x:row>
    <x:row r="383">
      <x:c r="H383" t="str">
        <x:f>IF(OR(F383="",G383=""),"",IF(F383=0,"",G383/F383))</x:f>
      </x:c>
      <x:c r="I383" t="str">
        <x:f>IF(OR(F383="",G383=""),"",F383-G383)</x:f>
      </x:c>
      <x:c r="J383" t="str">
        <x:f>IF(E383="","",IFERROR((I383/LOOKUP(2,1/($E$5:E382=E383),$I$5:I382))-1,""))</x:f>
      </x:c>
      <x:c r="K383" t="str">
        <x:f>IF(E383="","",IFERROR(IF(B383&lt;&gt;LOOKUP(2,1/($E$5:E382=E383),$B$5:B382),"Ranking change",""),""))</x:f>
      </x:c>
    </x:row>
    <x:row r="384">
      <x:c r="H384" t="str">
        <x:f>IF(OR(F384="",G384=""),"",IF(F384=0,"",G384/F384))</x:f>
      </x:c>
      <x:c r="I384" t="str">
        <x:f>IF(OR(F384="",G384=""),"",F384-G384)</x:f>
      </x:c>
      <x:c r="J384" t="str">
        <x:f>IF(E384="","",IFERROR((I384/LOOKUP(2,1/($E$5:E383=E384),$I$5:I383))-1,""))</x:f>
      </x:c>
      <x:c r="K384" t="str">
        <x:f>IF(E384="","",IFERROR(IF(B384&lt;&gt;LOOKUP(2,1/($E$5:E383=E384),$B$5:B383),"Ranking change",""),""))</x:f>
      </x:c>
    </x:row>
    <x:row r="385">
      <x:c r="H385" t="str">
        <x:f>IF(OR(F385="",G385=""),"",IF(F385=0,"",G385/F385))</x:f>
      </x:c>
      <x:c r="I385" t="str">
        <x:f>IF(OR(F385="",G385=""),"",F385-G385)</x:f>
      </x:c>
      <x:c r="J385" t="str">
        <x:f>IF(E385="","",IFERROR((I385/LOOKUP(2,1/($E$5:E384=E385),$I$5:I384))-1,""))</x:f>
      </x:c>
      <x:c r="K385" t="str">
        <x:f>IF(E385="","",IFERROR(IF(B385&lt;&gt;LOOKUP(2,1/($E$5:E384=E385),$B$5:B384),"Ranking change",""),""))</x:f>
      </x:c>
    </x:row>
    <x:row r="386">
      <x:c r="H386" t="str">
        <x:f>IF(OR(F386="",G386=""),"",IF(F386=0,"",G386/F386))</x:f>
      </x:c>
      <x:c r="I386" t="str">
        <x:f>IF(OR(F386="",G386=""),"",F386-G386)</x:f>
      </x:c>
      <x:c r="J386" t="str">
        <x:f>IF(E386="","",IFERROR((I386/LOOKUP(2,1/($E$5:E385=E386),$I$5:I385))-1,""))</x:f>
      </x:c>
      <x:c r="K386" t="str">
        <x:f>IF(E386="","",IFERROR(IF(B386&lt;&gt;LOOKUP(2,1/($E$5:E385=E386),$B$5:B385),"Ranking change",""),""))</x:f>
      </x:c>
    </x:row>
    <x:row r="387">
      <x:c r="H387" t="str">
        <x:f>IF(OR(F387="",G387=""),"",IF(F387=0,"",G387/F387))</x:f>
      </x:c>
      <x:c r="I387" t="str">
        <x:f>IF(OR(F387="",G387=""),"",F387-G387)</x:f>
      </x:c>
      <x:c r="J387" t="str">
        <x:f>IF(E387="","",IFERROR((I387/LOOKUP(2,1/($E$5:E386=E387),$I$5:I386))-1,""))</x:f>
      </x:c>
      <x:c r="K387" t="str">
        <x:f>IF(E387="","",IFERROR(IF(B387&lt;&gt;LOOKUP(2,1/($E$5:E386=E387),$B$5:B386),"Ranking change",""),""))</x:f>
      </x:c>
    </x:row>
    <x:row r="388">
      <x:c r="H388" t="str">
        <x:f>IF(OR(F388="",G388=""),"",IF(F388=0,"",G388/F388))</x:f>
      </x:c>
      <x:c r="I388" t="str">
        <x:f>IF(OR(F388="",G388=""),"",F388-G388)</x:f>
      </x:c>
      <x:c r="J388" t="str">
        <x:f>IF(E388="","",IFERROR((I388/LOOKUP(2,1/($E$5:E387=E388),$I$5:I387))-1,""))</x:f>
      </x:c>
      <x:c r="K388" t="str">
        <x:f>IF(E388="","",IFERROR(IF(B388&lt;&gt;LOOKUP(2,1/($E$5:E387=E388),$B$5:B387),"Ranking change",""),""))</x:f>
      </x:c>
    </x:row>
    <x:row r="389">
      <x:c r="H389" t="str">
        <x:f>IF(OR(F389="",G389=""),"",IF(F389=0,"",G389/F389))</x:f>
      </x:c>
      <x:c r="I389" t="str">
        <x:f>IF(OR(F389="",G389=""),"",F389-G389)</x:f>
      </x:c>
      <x:c r="J389" t="str">
        <x:f>IF(E389="","",IFERROR((I389/LOOKUP(2,1/($E$5:E388=E389),$I$5:I388))-1,""))</x:f>
      </x:c>
      <x:c r="K389" t="str">
        <x:f>IF(E389="","",IFERROR(IF(B389&lt;&gt;LOOKUP(2,1/($E$5:E388=E389),$B$5:B388),"Ranking change",""),""))</x:f>
      </x:c>
    </x:row>
    <x:row r="390">
      <x:c r="H390" t="str">
        <x:f>IF(OR(F390="",G390=""),"",IF(F390=0,"",G390/F390))</x:f>
      </x:c>
      <x:c r="I390" t="str">
        <x:f>IF(OR(F390="",G390=""),"",F390-G390)</x:f>
      </x:c>
      <x:c r="J390" t="str">
        <x:f>IF(E390="","",IFERROR((I390/LOOKUP(2,1/($E$5:E389=E390),$I$5:I389))-1,""))</x:f>
      </x:c>
      <x:c r="K390" t="str">
        <x:f>IF(E390="","",IFERROR(IF(B390&lt;&gt;LOOKUP(2,1/($E$5:E389=E390),$B$5:B389),"Ranking change",""),""))</x:f>
      </x:c>
    </x:row>
    <x:row r="391">
      <x:c r="H391" t="str">
        <x:f>IF(OR(F391="",G391=""),"",IF(F391=0,"",G391/F391))</x:f>
      </x:c>
      <x:c r="I391" t="str">
        <x:f>IF(OR(F391="",G391=""),"",F391-G391)</x:f>
      </x:c>
      <x:c r="J391" t="str">
        <x:f>IF(E391="","",IFERROR((I391/LOOKUP(2,1/($E$5:E390=E391),$I$5:I390))-1,""))</x:f>
      </x:c>
      <x:c r="K391" t="str">
        <x:f>IF(E391="","",IFERROR(IF(B391&lt;&gt;LOOKUP(2,1/($E$5:E390=E391),$B$5:B390),"Ranking change",""),""))</x:f>
      </x:c>
    </x:row>
    <x:row r="392">
      <x:c r="H392" t="str">
        <x:f>IF(OR(F392="",G392=""),"",IF(F392=0,"",G392/F392))</x:f>
      </x:c>
      <x:c r="I392" t="str">
        <x:f>IF(OR(F392="",G392=""),"",F392-G392)</x:f>
      </x:c>
      <x:c r="J392" t="str">
        <x:f>IF(E392="","",IFERROR((I392/LOOKUP(2,1/($E$5:E391=E392),$I$5:I391))-1,""))</x:f>
      </x:c>
      <x:c r="K392" t="str">
        <x:f>IF(E392="","",IFERROR(IF(B392&lt;&gt;LOOKUP(2,1/($E$5:E391=E392),$B$5:B391),"Ranking change",""),""))</x:f>
      </x:c>
    </x:row>
    <x:row r="393">
      <x:c r="H393" t="str">
        <x:f>IF(OR(F393="",G393=""),"",IF(F393=0,"",G393/F393))</x:f>
      </x:c>
      <x:c r="I393" t="str">
        <x:f>IF(OR(F393="",G393=""),"",F393-G393)</x:f>
      </x:c>
      <x:c r="J393" t="str">
        <x:f>IF(E393="","",IFERROR((I393/LOOKUP(2,1/($E$5:E392=E393),$I$5:I392))-1,""))</x:f>
      </x:c>
      <x:c r="K393" t="str">
        <x:f>IF(E393="","",IFERROR(IF(B393&lt;&gt;LOOKUP(2,1/($E$5:E392=E393),$B$5:B392),"Ranking change",""),""))</x:f>
      </x:c>
    </x:row>
    <x:row r="394">
      <x:c r="H394" t="str">
        <x:f>IF(OR(F394="",G394=""),"",IF(F394=0,"",G394/F394))</x:f>
      </x:c>
      <x:c r="I394" t="str">
        <x:f>IF(OR(F394="",G394=""),"",F394-G394)</x:f>
      </x:c>
      <x:c r="J394" t="str">
        <x:f>IF(E394="","",IFERROR((I394/LOOKUP(2,1/($E$5:E393=E394),$I$5:I393))-1,""))</x:f>
      </x:c>
      <x:c r="K394" t="str">
        <x:f>IF(E394="","",IFERROR(IF(B394&lt;&gt;LOOKUP(2,1/($E$5:E393=E394),$B$5:B393),"Ranking change",""),""))</x:f>
      </x:c>
    </x:row>
    <x:row r="395">
      <x:c r="H395" t="str">
        <x:f>IF(OR(F395="",G395=""),"",IF(F395=0,"",G395/F395))</x:f>
      </x:c>
      <x:c r="I395" t="str">
        <x:f>IF(OR(F395="",G395=""),"",F395-G395)</x:f>
      </x:c>
      <x:c r="J395" t="str">
        <x:f>IF(E395="","",IFERROR((I395/LOOKUP(2,1/($E$5:E394=E395),$I$5:I394))-1,""))</x:f>
      </x:c>
      <x:c r="K395" t="str">
        <x:f>IF(E395="","",IFERROR(IF(B395&lt;&gt;LOOKUP(2,1/($E$5:E394=E395),$B$5:B394),"Ranking change",""),""))</x:f>
      </x:c>
    </x:row>
    <x:row r="396">
      <x:c r="H396" t="str">
        <x:f>IF(OR(F396="",G396=""),"",IF(F396=0,"",G396/F396))</x:f>
      </x:c>
      <x:c r="I396" t="str">
        <x:f>IF(OR(F396="",G396=""),"",F396-G396)</x:f>
      </x:c>
      <x:c r="J396" t="str">
        <x:f>IF(E396="","",IFERROR((I396/LOOKUP(2,1/($E$5:E395=E396),$I$5:I395))-1,""))</x:f>
      </x:c>
      <x:c r="K396" t="str">
        <x:f>IF(E396="","",IFERROR(IF(B396&lt;&gt;LOOKUP(2,1/($E$5:E395=E396),$B$5:B395),"Ranking change",""),""))</x:f>
      </x:c>
    </x:row>
    <x:row r="397">
      <x:c r="H397" t="str">
        <x:f>IF(OR(F397="",G397=""),"",IF(F397=0,"",G397/F397))</x:f>
      </x:c>
      <x:c r="I397" t="str">
        <x:f>IF(OR(F397="",G397=""),"",F397-G397)</x:f>
      </x:c>
      <x:c r="J397" t="str">
        <x:f>IF(E397="","",IFERROR((I397/LOOKUP(2,1/($E$5:E396=E397),$I$5:I396))-1,""))</x:f>
      </x:c>
      <x:c r="K397" t="str">
        <x:f>IF(E397="","",IFERROR(IF(B397&lt;&gt;LOOKUP(2,1/($E$5:E396=E397),$B$5:B396),"Ranking change",""),""))</x:f>
      </x:c>
    </x:row>
    <x:row r="398">
      <x:c r="H398" t="str">
        <x:f>IF(OR(F398="",G398=""),"",IF(F398=0,"",G398/F398))</x:f>
      </x:c>
      <x:c r="I398" t="str">
        <x:f>IF(OR(F398="",G398=""),"",F398-G398)</x:f>
      </x:c>
      <x:c r="J398" t="str">
        <x:f>IF(E398="","",IFERROR((I398/LOOKUP(2,1/($E$5:E397=E398),$I$5:I397))-1,""))</x:f>
      </x:c>
      <x:c r="K398" t="str">
        <x:f>IF(E398="","",IFERROR(IF(B398&lt;&gt;LOOKUP(2,1/($E$5:E397=E398),$B$5:B397),"Ranking change",""),""))</x:f>
      </x:c>
    </x:row>
    <x:row r="399">
      <x:c r="H399" t="str">
        <x:f>IF(OR(F399="",G399=""),"",IF(F399=0,"",G399/F399))</x:f>
      </x:c>
      <x:c r="I399" t="str">
        <x:f>IF(OR(F399="",G399=""),"",F399-G399)</x:f>
      </x:c>
      <x:c r="J399" t="str">
        <x:f>IF(E399="","",IFERROR((I399/LOOKUP(2,1/($E$5:E398=E399),$I$5:I398))-1,""))</x:f>
      </x:c>
      <x:c r="K399" t="str">
        <x:f>IF(E399="","",IFERROR(IF(B399&lt;&gt;LOOKUP(2,1/($E$5:E398=E399),$B$5:B398),"Ranking change",""),""))</x:f>
      </x:c>
    </x:row>
    <x:row r="400">
      <x:c r="H400" t="str">
        <x:f>IF(OR(F400="",G400=""),"",IF(F400=0,"",G400/F400))</x:f>
      </x:c>
      <x:c r="I400" t="str">
        <x:f>IF(OR(F400="",G400=""),"",F400-G400)</x:f>
      </x:c>
      <x:c r="J400" t="str">
        <x:f>IF(E400="","",IFERROR((I400/LOOKUP(2,1/($E$5:E399=E400),$I$5:I399))-1,""))</x:f>
      </x:c>
      <x:c r="K400" t="str">
        <x:f>IF(E400="","",IFERROR(IF(B400&lt;&gt;LOOKUP(2,1/($E$5:E399=E400),$B$5:B399),"Ranking change",""),""))</x:f>
      </x:c>
    </x:row>
  </x:sheetData>
  <x:pageMargins left="0.7" right="0.7" top="0.75" bottom="0.75" header="0.3" footer="0.3"/>
  <x:legacyDrawing xmlns:r="http://schemas.openxmlformats.org/officeDocument/2006/relationships" r:id="R6bbef620beac49a5"/>
  <x:extLst>
    <x:ext uri="{B025F937-C7B1-47D3-B67F-A62EFF666E3E}">
      <xltc:threadedComments xmlns:xltc="http://schemas.microsoft.com/office/spreadsheetml/2018/threadedcomments" xmlns:r="http://schemas.openxmlformats.org/officeDocument/2006/relationships" r:id="R5a904ea99fcb42e4"/>
    </x:ext>
  </x:extLst>
</x:worksheet>
</file>

<file path=xl/worksheets/sheet2.xml><?xml version="1.0" encoding="utf-8"?>
<x:worksheet xmlns:x="http://schemas.openxmlformats.org/spreadsheetml/2006/main">
  <x:sheetFormatPr defaultRowHeight="17.399999618530273"/>
  <x:sheetData>
    <x:row r="1">
      <x:c r="B1" t="str">
        <x:v>Original capture note</x:v>
      </x:c>
    </x:row>
    <x:row r="2">
      <x:c r="A2" s="13" t="s">
        <x:v>11</x:v>
      </x:c>
      <x:c r="B2" t="str">
        <x:v>Preserved from source workbook</x:v>
      </x:c>
    </x:row>
    <x:row r="3">
      <x:c r="B3" t="str"/>
    </x:row>
    <x:row r="43">
      <x:c r="A43" s="13" t="s">
        <x:v>12</x:v>
      </x:c>
    </x:row>
  </x:sheetData>
  <x:pageMargins left="0.7" right="0.7" top="0.75" bottom="0.75" header="0.3" footer="0.3"/>
  <x:drawing xmlns:r="http://schemas.openxmlformats.org/officeDocument/2006/relationships" r:id="Rb438f32e2d7042cc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0" hidden="0" customWidth="1"/>
    <x:col min="4" max="4" width="58" hidden="0" customWidth="1"/>
    <x:col min="5" max="5" width="12" hidden="0" customWidth="1"/>
    <x:col min="6" max="6" width="55" hidden="0" customWidth="1"/>
    <x:col min="7" max="7" width="10" hidden="0" customWidth="1"/>
  </x:cols>
  <x:sheetData>
    <x:row r="1">
      <x:c r="A1" s="30" t="str">
        <x:v>Active</x:v>
      </x:c>
      <x:c r="B1" s="30" t="str">
        <x:v>Default Rank</x:v>
      </x:c>
      <x:c r="C1" s="30" t="str">
        <x:v>Knob O/X</x:v>
      </x:c>
      <x:c r="D1" s="30" t="str">
        <x:v>Model</x:v>
      </x:c>
      <x:c r="E1" s="30" t="str">
        <x:v>P/N</x:v>
      </x:c>
      <x:c r="F1" s="30" t="str">
        <x:v>Product URL</x:v>
      </x:c>
      <x:c r="G1" s="30" t="str">
        <x:v>Source</x:v>
      </x:c>
    </x:row>
    <x:row r="2">
      <x:c r="A2" s="28" t="b">
        <x:v>1</x:v>
      </x:c>
      <x:c r="B2" t="n">
        <x:v>1</x:v>
      </x:c>
      <x:c r="C2" t="str">
        <x:v>O</x:v>
      </x:c>
      <x:c r="D2" s="31" t="str">
        <x:v>6.9 cu. ft. Smart Gas Double Oven Freestanding Range with ProBake Convection®, Air Fry &amp; Air Sous Vide</x:v>
      </x:c>
      <x:c r="E2" t="str">
        <x:v>LDGL6924S</x:v>
      </x:c>
      <x:c r="F2" t="str">
        <x:v>https://www.lg.com/us/cooking-appliances/lg-ldgl6924s-gas-range</x:v>
      </x:c>
      <x:c r="G2" t="str">
        <x:v>LG PDP</x:v>
      </x:c>
    </x:row>
    <x:row r="3">
      <x:c r="A3" s="28" t="b">
        <x:v>1</x:v>
      </x:c>
      <x:c r="B3" t="n">
        <x:v>2</x:v>
      </x:c>
      <x:c r="C3" t="str">
        <x:v>X</x:v>
      </x:c>
      <x:c r="D3" s="31" t="str">
        <x:v>4.7 cu. ft. Smart Wall Oven with Convection and Air Fry</x:v>
      </x:c>
      <x:c r="E3" t="str">
        <x:v>WSEP4723F</x:v>
      </x:c>
      <x:c r="F3" t="str">
        <x:v>https://www.lg.com/us/cooking-appliances/lg-wsep4723f-smart-wall-oven</x:v>
      </x:c>
      <x:c r="G3" t="str">
        <x:v>LG PDP</x:v>
      </x:c>
    </x:row>
    <x:row r="4">
      <x:c r="A4" s="28" t="b">
        <x:v>1</x:v>
      </x:c>
      <x:c r="B4" t="n">
        <x:v>3</x:v>
      </x:c>
      <x:c r="C4" t="str">
        <x:v>O</x:v>
      </x:c>
      <x:c r="D4" s="31" t="str">
        <x:v>6.3 cu. ft. Electric Slide-in Range</x:v>
      </x:c>
      <x:c r="E4" t="str">
        <x:v>LSEL6330SE</x:v>
      </x:c>
      <x:c r="F4" t="str">
        <x:v>https://www.lg.com/us/cooking-appliances/lg-lsel6330se-electric-range</x:v>
      </x:c>
      <x:c r="G4" t="str">
        <x:v>LG PDP</x:v>
      </x:c>
    </x:row>
    <x:row r="5">
      <x:c r="A5" s="28" t="b">
        <x:v>1</x:v>
      </x:c>
      <x:c r="B5" t="n">
        <x:v>4</x:v>
      </x:c>
      <x:c r="C5" t="str">
        <x:v>X</x:v>
      </x:c>
      <x:c r="D5" s="31" t="str">
        <x:v>1.7/4.7 cu. ft. Smart Combination Wall Oven with InstaView®, True Convection, Air Fry, and Steam Sous Vide</x:v>
      </x:c>
      <x:c r="E5" t="str">
        <x:v>WCEP6427F</x:v>
      </x:c>
      <x:c r="F5" t="str">
        <x:v>https://www.lg.com/us/cooking-appliances/lg-wcep6427f-combo-wall-oven</x:v>
      </x:c>
      <x:c r="G5" t="str">
        <x:v>LG PDP</x:v>
      </x:c>
    </x:row>
    <x:row r="6">
      <x:c r="A6" s="28" t="b">
        <x:v>1</x:v>
      </x:c>
      <x:c r="B6" t="n">
        <x:v>5</x:v>
      </x:c>
      <x:c r="C6" t="str">
        <x:v>O</x:v>
      </x:c>
      <x:c r="D6" s="31" t="str">
        <x:v>6.3 cu. ft. Smart Wi-Fi Enabled ProBake Convection® Electric Range with Air Fry &amp; EasyClean®</x:v>
      </x:c>
      <x:c r="E6" t="str">
        <x:v>LREN6323YE</x:v>
      </x:c>
      <x:c r="F6" t="str">
        <x:v>https://www.lg.com/us/cooking-appliances/lg-lren6323ye-slide-in-electric-range</x:v>
      </x:c>
      <x:c r="G6" t="str">
        <x:v>LG PDP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9" hidden="0" customWidth="1"/>
    <x:col min="4" max="4" width="60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55" hidden="0" customWidth="1"/>
    <x:col min="11" max="11" width="22" hidden="0" customWidth="1"/>
  </x:cols>
  <x:sheetData>
    <x:row r="1">
      <x:c r="A1" s="30" t="str">
        <x:v>Date</x:v>
      </x:c>
      <x:c r="B1" s="30" t="str">
        <x:v>Rank</x:v>
      </x:c>
      <x:c r="C1" s="30" t="str">
        <x:v>Knob O/X</x:v>
      </x:c>
      <x:c r="D1" s="30" t="str">
        <x:v>Model</x:v>
      </x:c>
      <x:c r="E1" s="30" t="str">
        <x:v>P/N</x:v>
      </x:c>
      <x:c r="F1" s="30" t="str">
        <x:v>Price($)</x:v>
      </x:c>
      <x:c r="G1" s="30" t="str">
        <x:v>Promotion($)</x:v>
      </x:c>
      <x:c r="H1" s="30" t="str">
        <x:v>Promotion(%)</x:v>
      </x:c>
      <x:c r="I1" s="30" t="str">
        <x:v>Total($)</x:v>
      </x:c>
      <x:c r="J1" s="30" t="str">
        <x:v>Source URL</x:v>
      </x:c>
      <x:c r="K1" s="30" t="str">
        <x:v>LG Note</x:v>
      </x:c>
    </x:row>
    <x:row r="2">
      <x:c r="A2" s="32" t="n">
        <x:v>46132</x:v>
      </x:c>
      <x:c r="B2" t="n">
        <x:v>1</x:v>
      </x:c>
      <x:c r="C2" t="str">
        <x:v>O</x:v>
      </x:c>
      <x:c r="D2" t="str">
        <x:v>6.9 cu. ft. Smart Gas Double Oven Freestanding Range with ProBake Convection®, Air Fry &amp; Air Sous Vide</x:v>
      </x:c>
      <x:c r="E2" t="str">
        <x:v>LDGL6924S</x:v>
      </x:c>
      <x:c r="F2" t="n">
        <x:v>2399</x:v>
      </x:c>
      <x:c r="G2" t="n">
        <x:v>800</x:v>
      </x:c>
      <x:c r="H2" t="n">
        <x:f>IF(OR(F2="",G2=""),"",G2/F2)</x:f>
        <x:v>0.3334722801167153</x:v>
      </x:c>
      <x:c r="I2" t="n">
        <x:f>IF(OR(F2="",G2=""),"",F2-G2)</x:f>
        <x:v>1599</x:v>
      </x:c>
      <x:c r="J2" t="str">
        <x:v>https://www.lg.com/us/cooking-appliances/lg-ldgl6924s-gas-range</x:v>
      </x:c>
      <x:c r="K2" t="str">
        <x:v>Top Deal / Best Seller</x:v>
      </x:c>
    </x:row>
    <x:row r="3">
      <x:c r="A3" s="32" t="n">
        <x:v>46132</x:v>
      </x:c>
      <x:c r="B3" t="n">
        <x:v>2</x:v>
      </x:c>
      <x:c r="C3" t="str">
        <x:v>X</x:v>
      </x:c>
      <x:c r="D3" t="str">
        <x:v>4.7 cu. ft. Smart Wall Oven with Convection and Air Fry</x:v>
      </x:c>
      <x:c r="E3" t="str">
        <x:v>WSEP4723F</x:v>
      </x:c>
      <x:c r="F3" t="n">
        <x:v>2199</x:v>
      </x:c>
      <x:c r="G3" t="n">
        <x:v>900</x:v>
      </x:c>
      <x:c r="H3" t="n">
        <x:f>IF(OR(F3="",G3=""),"",G3/F3)</x:f>
        <x:v>0.4092769440654843</x:v>
      </x:c>
      <x:c r="I3" t="n">
        <x:f>IF(OR(F3="",G3=""),"",F3-G3)</x:f>
        <x:v>1299</x:v>
      </x:c>
      <x:c r="J3" t="str">
        <x:v>https://www.lg.com/us/cooking-appliances/lg-wsep4723f-smart-wall-oven</x:v>
      </x:c>
      <x:c r="K3" t="str">
        <x:v>Top Deal / Best Seller</x:v>
      </x:c>
    </x:row>
    <x:row r="4">
      <x:c r="A4" s="32" t="n">
        <x:v>46132</x:v>
      </x:c>
      <x:c r="B4" t="n">
        <x:v>3</x:v>
      </x:c>
      <x:c r="C4" t="str">
        <x:v>O</x:v>
      </x:c>
      <x:c r="D4" t="str">
        <x:v>6.3 cu. ft. Electric Slide-in Range</x:v>
      </x:c>
      <x:c r="E4" t="str">
        <x:v>LSEL6330SE</x:v>
      </x:c>
      <x:c r="F4" t="n">
        <x:v>899</x:v>
      </x:c>
      <x:c r="G4" t="n">
        <x:v>100</x:v>
      </x:c>
      <x:c r="H4" t="n">
        <x:f>IF(OR(F4="",G4=""),"",G4/F4)</x:f>
        <x:v>0.11123470522803114</x:v>
      </x:c>
      <x:c r="I4" t="n">
        <x:f>IF(OR(F4="",G4=""),"",F4-G4)</x:f>
        <x:v>799</x:v>
      </x:c>
      <x:c r="J4" t="str">
        <x:v>https://www.lg.com/us/cooking-appliances/lg-lsel6330se-electric-range</x:v>
      </x:c>
      <x:c r="K4" t="str">
        <x:v>Bundle offer on page</x:v>
      </x:c>
    </x:row>
    <x:row r="5">
      <x:c r="A5" s="32" t="n">
        <x:v>46132</x:v>
      </x:c>
      <x:c r="B5" t="n">
        <x:v>4</x:v>
      </x:c>
      <x:c r="C5" t="str">
        <x:v>X</x:v>
      </x:c>
      <x:c r="D5" t="str">
        <x:v>1.7/4.7 cu. ft. Smart Combination Wall Oven with InstaView®, True Convection, Air Fry, and Steam Sous Vide</x:v>
      </x:c>
      <x:c r="E5" t="str">
        <x:v>WCEP6427F</x:v>
      </x:c>
      <x:c r="F5" t="n">
        <x:v>4599</x:v>
      </x:c>
      <x:c r="G5" t="n">
        <x:v>1800</x:v>
      </x:c>
      <x:c r="H5" t="n">
        <x:f>IF(OR(F5="",G5=""),"",G5/F5)</x:f>
        <x:v>0.3913894324853229</x:v>
      </x:c>
      <x:c r="I5" t="n">
        <x:f>IF(OR(F5="",G5=""),"",F5-G5)</x:f>
        <x:v>2799</x:v>
      </x:c>
      <x:c r="J5" t="str">
        <x:v>https://www.lg.com/us/cooking-appliances/lg-wcep6427f-combo-wall-oven</x:v>
      </x:c>
      <x:c r="K5" t="str">
        <x:v>Top Deal / Power Pair Offer</x:v>
      </x:c>
    </x:row>
    <x:row r="6">
      <x:c r="A6" s="32" t="n">
        <x:v>46132</x:v>
      </x:c>
      <x:c r="B6" t="n">
        <x:v>5</x:v>
      </x:c>
      <x:c r="C6" t="str">
        <x:v>O</x:v>
      </x:c>
      <x:c r="D6" t="str">
        <x:v>6.3 cu. ft. Smart Wi-Fi Enabled ProBake Convection® Electric Range with Air Fry &amp; EasyClean®</x:v>
      </x:c>
      <x:c r="E6" t="str">
        <x:v>LREN6323YE</x:v>
      </x:c>
      <x:c r="F6" t="n">
        <x:v>1299</x:v>
      </x:c>
      <x:c r="G6" t="n">
        <x:v>450</x:v>
      </x:c>
      <x:c r="H6" t="n">
        <x:f>IF(OR(F6="",G6=""),"",G6/F6)</x:f>
        <x:v>0.3464203233256351</x:v>
      </x:c>
      <x:c r="I6" t="n">
        <x:f>IF(OR(F6="",G6=""),"",F6-G6)</x:f>
        <x:v>849</x:v>
      </x:c>
      <x:c r="J6" t="str">
        <x:v>https://www.lg.com/us/cooking-appliances/lg-lren6323ye-slide-in-electric-range</x:v>
      </x:c>
      <x:c r="K6" t="str">
        <x:v>Top Deal / Best Seller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52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10" hidden="0" customWidth="1"/>
    <x:col min="9" max="9" width="38" hidden="0" customWidth="1"/>
  </x:cols>
  <x:sheetData>
    <x:row r="1">
      <x:c r="A1" s="34" t="str">
        <x:v>LG Oven Weekly Tracking Dashboard</x:v>
      </x:c>
      <x:c r="B1" s="34"/>
      <x:c r="C1" s="34"/>
      <x:c r="D1" s="34"/>
    </x:row>
    <x:row r="3">
      <x:c r="A3" s="30" t="str">
        <x:v>Latest snapshot</x:v>
      </x:c>
      <x:c r="B3" s="30" t="str">
        <x:v>Tracked models</x:v>
      </x:c>
      <x:c r="C3" s="30" t="str">
        <x:v>Avg promo %</x:v>
      </x:c>
      <x:c r="D3" s="30" t="str">
        <x:v>Current total value</x:v>
      </x:c>
    </x:row>
    <x:row r="4">
      <x:c r="A4" s="32" t="str">
        <x:v>2026.04.20</x:v>
      </x:c>
      <x:c r="B4" t="n">
        <x:f>COUNTA(Live_Snapshot!E2:E100)</x:f>
        <x:v>5</x:v>
      </x:c>
      <x:c r="C4" s="35" t="n">
        <x:f>AVERAGE(Live_Snapshot!H2:H100)</x:f>
        <x:v>0.3183587370442377</x:v>
      </x:c>
      <x:c r="D4" s="36" t="n">
        <x:f>SUM(Live_Snapshot!I2:I100)</x:f>
        <x:v>7345</x:v>
      </x:c>
    </x:row>
    <x:row r="7">
      <x:c r="A7" s="30" t="str">
        <x:v>Rank</x:v>
      </x:c>
      <x:c r="B7" s="30" t="str">
        <x:v>Knob O/X</x:v>
      </x:c>
      <x:c r="C7" s="30" t="str">
        <x:v>Model</x:v>
      </x:c>
      <x:c r="D7" s="30" t="str">
        <x:v>P/N</x:v>
      </x:c>
      <x:c r="E7" s="30" t="str">
        <x:v>Price($)</x:v>
      </x:c>
      <x:c r="F7" s="30" t="str">
        <x:v>Promotion($)</x:v>
      </x:c>
      <x:c r="G7" s="30" t="str">
        <x:v>Promotion(%)</x:v>
      </x:c>
      <x:c r="H7" s="30" t="str">
        <x:v>Total($)</x:v>
      </x:c>
      <x:c r="I7" s="30" t="str">
        <x:v>Source URL</x:v>
      </x:c>
    </x:row>
    <x:row r="8">
      <x:c r="A8" t="n">
        <x:f>Live_Snapshot!B2</x:f>
        <x:v>1</x:v>
      </x:c>
      <x:c r="B8" t="str">
        <x:f>Live_Snapshot!C2</x:f>
        <x:v>O</x:v>
      </x:c>
      <x:c r="C8" s="31" t="str">
        <x:f>Live_Snapshot!D2</x:f>
        <x:v>6.9 cu. ft. Smart Gas Double Oven Freestanding Range with ProBake Convection®, Air Fry &amp; Air Sous Vide</x:v>
      </x:c>
      <x:c r="D8" t="str">
        <x:f>Live_Snapshot!E2</x:f>
        <x:v>LDGL6924S</x:v>
      </x:c>
      <x:c r="E8" s="36" t="n">
        <x:f>Live_Snapshot!F2</x:f>
        <x:v>2399</x:v>
      </x:c>
      <x:c r="F8" s="36" t="n">
        <x:f>Live_Snapshot!G2</x:f>
        <x:v>800</x:v>
      </x:c>
      <x:c r="G8" s="35" t="n">
        <x:f>Live_Snapshot!H2</x:f>
        <x:v>0.3334722801167153</x:v>
      </x:c>
      <x:c r="H8" s="36" t="n">
        <x:f>Live_Snapshot!I2</x:f>
        <x:v>1599</x:v>
      </x:c>
      <x:c r="I8" s="31" t="str">
        <x:f>Live_Snapshot!J2</x:f>
        <x:v>https://www.lg.com/us/cooking-appliances/lg-ldgl6924s-gas-range</x:v>
      </x:c>
    </x:row>
    <x:row r="9">
      <x:c r="A9" t="n">
        <x:f>Live_Snapshot!B3</x:f>
        <x:v>2</x:v>
      </x:c>
      <x:c r="B9" t="str">
        <x:f>Live_Snapshot!C3</x:f>
        <x:v>X</x:v>
      </x:c>
      <x:c r="C9" s="31" t="str">
        <x:f>Live_Snapshot!D3</x:f>
        <x:v>4.7 cu. ft. Smart Wall Oven with Convection and Air Fry</x:v>
      </x:c>
      <x:c r="D9" t="str">
        <x:f>Live_Snapshot!E3</x:f>
        <x:v>WSEP4723F</x:v>
      </x:c>
      <x:c r="E9" s="36" t="n">
        <x:f>Live_Snapshot!F3</x:f>
        <x:v>2199</x:v>
      </x:c>
      <x:c r="F9" s="36" t="n">
        <x:f>Live_Snapshot!G3</x:f>
        <x:v>900</x:v>
      </x:c>
      <x:c r="G9" s="35" t="n">
        <x:f>Live_Snapshot!H3</x:f>
        <x:v>0.4092769440654843</x:v>
      </x:c>
      <x:c r="H9" s="36" t="n">
        <x:f>Live_Snapshot!I3</x:f>
        <x:v>1299</x:v>
      </x:c>
      <x:c r="I9" s="31" t="str">
        <x:f>Live_Snapshot!J3</x:f>
        <x:v>https://www.lg.com/us/cooking-appliances/lg-wsep4723f-smart-wall-oven</x:v>
      </x:c>
    </x:row>
    <x:row r="10">
      <x:c r="A10" t="n">
        <x:f>Live_Snapshot!B4</x:f>
        <x:v>3</x:v>
      </x:c>
      <x:c r="B10" t="str">
        <x:f>Live_Snapshot!C4</x:f>
        <x:v>O</x:v>
      </x:c>
      <x:c r="C10" s="31" t="str">
        <x:f>Live_Snapshot!D4</x:f>
        <x:v>6.3 cu. ft. Electric Slide-in Range</x:v>
      </x:c>
      <x:c r="D10" t="str">
        <x:f>Live_Snapshot!E4</x:f>
        <x:v>LSEL6330SE</x:v>
      </x:c>
      <x:c r="E10" s="36" t="n">
        <x:f>Live_Snapshot!F4</x:f>
        <x:v>899</x:v>
      </x:c>
      <x:c r="F10" s="36" t="n">
        <x:f>Live_Snapshot!G4</x:f>
        <x:v>100</x:v>
      </x:c>
      <x:c r="G10" s="35" t="n">
        <x:f>Live_Snapshot!H4</x:f>
        <x:v>0.11123470522803114</x:v>
      </x:c>
      <x:c r="H10" s="36" t="n">
        <x:f>Live_Snapshot!I4</x:f>
        <x:v>799</x:v>
      </x:c>
      <x:c r="I10" s="31" t="str">
        <x:f>Live_Snapshot!J4</x:f>
        <x:v>https://www.lg.com/us/cooking-appliances/lg-lsel6330se-electric-range</x:v>
      </x:c>
    </x:row>
    <x:row r="11">
      <x:c r="A11" t="n">
        <x:f>Live_Snapshot!B5</x:f>
        <x:v>4</x:v>
      </x:c>
      <x:c r="B11" t="str">
        <x:f>Live_Snapshot!C5</x:f>
        <x:v>X</x:v>
      </x:c>
      <x:c r="C11" s="31" t="str">
        <x:f>Live_Snapshot!D5</x:f>
        <x:v>1.7/4.7 cu. ft. Smart Combination Wall Oven with InstaView®, True Convection, Air Fry, and Steam Sous Vide</x:v>
      </x:c>
      <x:c r="D11" t="str">
        <x:f>Live_Snapshot!E5</x:f>
        <x:v>WCEP6427F</x:v>
      </x:c>
      <x:c r="E11" s="36" t="n">
        <x:f>Live_Snapshot!F5</x:f>
        <x:v>4599</x:v>
      </x:c>
      <x:c r="F11" s="36" t="n">
        <x:f>Live_Snapshot!G5</x:f>
        <x:v>1800</x:v>
      </x:c>
      <x:c r="G11" s="35" t="n">
        <x:f>Live_Snapshot!H5</x:f>
        <x:v>0.3913894324853229</x:v>
      </x:c>
      <x:c r="H11" s="36" t="n">
        <x:f>Live_Snapshot!I5</x:f>
        <x:v>2799</x:v>
      </x:c>
      <x:c r="I11" s="31" t="str">
        <x:f>Live_Snapshot!J5</x:f>
        <x:v>https://www.lg.com/us/cooking-appliances/lg-wcep6427f-combo-wall-oven</x:v>
      </x:c>
    </x:row>
    <x:row r="12">
      <x:c r="A12" t="n">
        <x:f>Live_Snapshot!B6</x:f>
        <x:v>5</x:v>
      </x:c>
      <x:c r="B12" t="str">
        <x:f>Live_Snapshot!C6</x:f>
        <x:v>O</x:v>
      </x:c>
      <x:c r="C12" s="31" t="str">
        <x:f>Live_Snapshot!D6</x:f>
        <x:v>6.3 cu. ft. Smart Wi-Fi Enabled ProBake Convection® Electric Range with Air Fry &amp; EasyClean®</x:v>
      </x:c>
      <x:c r="D12" t="str">
        <x:f>Live_Snapshot!E6</x:f>
        <x:v>LREN6323YE</x:v>
      </x:c>
      <x:c r="E12" s="36" t="n">
        <x:f>Live_Snapshot!F6</x:f>
        <x:v>1299</x:v>
      </x:c>
      <x:c r="F12" s="36" t="n">
        <x:f>Live_Snapshot!G6</x:f>
        <x:v>450</x:v>
      </x:c>
      <x:c r="G12" s="35" t="n">
        <x:f>Live_Snapshot!H6</x:f>
        <x:v>0.3464203233256351</x:v>
      </x:c>
      <x:c r="H12" s="36" t="n">
        <x:f>Live_Snapshot!I6</x:f>
        <x:v>849</x:v>
      </x:c>
      <x:c r="I12" s="31" t="str">
        <x:f>Live_Snapshot!J6</x:f>
        <x:v>https://www.lg.com/us/cooking-appliances/lg-lren6323ye-slide-in-electric-range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50" hidden="0" customWidth="1"/>
  </x:cols>
  <x:sheetData>
    <x:row r="1">
      <x:c r="A1" s="30" t="str">
        <x:v>Sheet</x:v>
      </x:c>
      <x:c r="B1" s="30" t="str">
        <x:v>Purpose</x:v>
      </x:c>
    </x:row>
    <x:row r="2">
      <x:c r="A2" t="str">
        <x:v>Dashboard</x:v>
      </x:c>
      <x:c r="B2" t="str">
        <x:v>최신 스냅샷 KPI와 제품별 가격/프로모션 현황 요약</x:v>
      </x:c>
    </x:row>
    <x:row r="3">
      <x:c r="A3" t="str">
        <x:v>List</x:v>
      </x:c>
      <x:c r="B3" t="str">
        <x:v>주간 누적 본시트. Promotion(%), Total($), WOW, Note 자동 계산</x:v>
      </x:c>
    </x:row>
    <x:row r="4">
      <x:c r="A4" t="str">
        <x:v>Model_Master</x:v>
      </x:c>
      <x:c r="B4" t="str">
        <x:v>추적 대상 모델, Knob O/X, 제품 URL 마스터</x:v>
      </x:c>
    </x:row>
    <x:row r="5">
      <x:c r="A5" t="str">
        <x:v>Live_Snapshot</x:v>
      </x:c>
      <x:c r="B5" t="str">
        <x:v>2026-04-20 기준 LG 페이지 확인값</x:v>
      </x:c>
    </x:row>
    <x:row r="6">
      <x:c r="A6" t="str">
        <x:v>Guide</x:v>
      </x:c>
      <x:c r="B6" t="str">
        <x:v>파일 구조 설명</x:v>
      </x:c>
    </x:row>
    <x:row r="7">
      <x:c r="A7" t="str">
        <x:v>Capture</x:v>
      </x:c>
      <x:c r="B7" t="str">
        <x:v>원본 캡처용 메모 시트</x:v>
      </x:c>
    </x:row>
    <x:row r="9">
      <x:c r="A9" s="31" t="str">
        <x:v>이 파일은 원본 구조를 유지하면서 오류가 나던 빈 행 수식을 정리한 버전입니다.</x:v>
      </x:c>
    </x:row>
    <x:row r="10">
      <x:c r="A10" s="31" t="str">
        <x:v>List 시트의 기존 이력 10행은 유지되었습니다.</x:v>
      </x:c>
    </x:row>
    <x:row r="11">
      <x:c r="A11" s="31" t="str">
        <x:v>향후 A:G 열에 새 행을 추가하면 H:K 열이 자동 계산됩니다.</x:v>
      </x:c>
    </x:row>
    <x:row r="12">
      <x:c r="A12" s="31" t="str">
        <x:v>Model_Master 및 Live_Snapshot에는 제품 URL이 포함되어 있습니다.</x:v>
      </x:c>
    </x:row>
    <x:row r="13">
      <x:c r="A13" s="31" t="str">
        <x:v>Google Sheets로 업로드해도 구조는 그대로 검토 가능합니다.</x:v>
      </x:c>
    </x:row>
    <x:row r="14">
      <x:c r="A14" s="31" t="str">
        <x:v>완전 자동 스케줄 실행은 별도 런타임 연결이 필요하지만, 이번 산출물은 바로 열어 쓸 수 있는 완성본입니다.</x:v>
      </x:c>
    </x:row>
    <x:row r="15">
      <x:c r="A15" s="31" t="str">
        <x:v>가격/프로모션 값은 LG 미국 사이트의 각 상품 상세 페이지 기준으로 확인했습니다.</x:v>
      </x:c>
    </x:row>
  </x:sheetData>
  <x:pageMargins left="0.7" right="0.7" top="0.75" bottom="0.75" header="0.3" footer="0.3"/>
</x:worksheet>
</file>